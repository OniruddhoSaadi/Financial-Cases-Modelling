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niruddhokhansaadi/Desktop/Cases &amp; Models/"/>
    </mc:Choice>
  </mc:AlternateContent>
  <xr:revisionPtr revIDLastSave="0" documentId="8_{DDB63F3F-208E-AD43-82EC-0A58C9B8B257}" xr6:coauthVersionLast="47" xr6:coauthVersionMax="47" xr10:uidLastSave="{00000000-0000-0000-0000-000000000000}"/>
  <bookViews>
    <workbookView xWindow="28800" yWindow="0" windowWidth="38400" windowHeight="21600" activeTab="10" xr2:uid="{00000000-000D-0000-FFFF-FFFF00000000}"/>
  </bookViews>
  <sheets>
    <sheet name="Cover" sheetId="1" r:id="rId1"/>
    <sheet name="IS" sheetId="4" r:id="rId2"/>
    <sheet name="BS" sheetId="3" r:id="rId3"/>
    <sheet name="CF" sheetId="6" r:id="rId4"/>
    <sheet name="Working Capital" sheetId="7" r:id="rId5"/>
    <sheet name="Dep Capex " sheetId="8" r:id="rId6"/>
    <sheet name="Amort Intangible" sheetId="9" r:id="rId7"/>
    <sheet name="Other Long Term Asset Liability" sheetId="13" r:id="rId8"/>
    <sheet name="Shareholders Equity" sheetId="10" r:id="rId9"/>
    <sheet name="Shares Outstanding " sheetId="11" r:id="rId10"/>
    <sheet name="Debt" sheetId="12" r:id="rId11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 iterate="1" iterateDelta="1.0000000000000002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3" l="1"/>
  <c r="K27" i="3"/>
  <c r="J27" i="3"/>
  <c r="I27" i="3"/>
  <c r="H27" i="3"/>
  <c r="L34" i="3"/>
  <c r="K34" i="3"/>
  <c r="J34" i="3"/>
  <c r="I34" i="3"/>
  <c r="H34" i="3"/>
  <c r="L33" i="3"/>
  <c r="K33" i="3"/>
  <c r="J33" i="3"/>
  <c r="I33" i="3"/>
  <c r="H33" i="3"/>
  <c r="L32" i="3"/>
  <c r="K32" i="3"/>
  <c r="J32" i="3"/>
  <c r="I32" i="3"/>
  <c r="H32" i="3"/>
  <c r="L107" i="3"/>
  <c r="K107" i="3"/>
  <c r="J107" i="3"/>
  <c r="I107" i="3"/>
  <c r="I113" i="3" s="1"/>
  <c r="H107" i="3"/>
  <c r="H113" i="3" s="1"/>
  <c r="L108" i="3"/>
  <c r="K108" i="3"/>
  <c r="J108" i="3"/>
  <c r="I108" i="3"/>
  <c r="I114" i="3" s="1"/>
  <c r="H108" i="3"/>
  <c r="H114" i="3" s="1"/>
  <c r="L109" i="3"/>
  <c r="K109" i="3"/>
  <c r="J109" i="3"/>
  <c r="I109" i="3"/>
  <c r="I115" i="3" s="1"/>
  <c r="H109" i="3"/>
  <c r="L113" i="3"/>
  <c r="K113" i="3"/>
  <c r="K116" i="3" s="1"/>
  <c r="J113" i="3"/>
  <c r="L114" i="3"/>
  <c r="K114" i="3"/>
  <c r="J114" i="3"/>
  <c r="L115" i="3"/>
  <c r="K115" i="3"/>
  <c r="J115" i="3"/>
  <c r="H115" i="3"/>
  <c r="J116" i="3"/>
  <c r="L121" i="3"/>
  <c r="K121" i="3"/>
  <c r="J121" i="3"/>
  <c r="I121" i="3"/>
  <c r="H121" i="3"/>
  <c r="L125" i="3"/>
  <c r="K125" i="3"/>
  <c r="J125" i="3"/>
  <c r="I125" i="3"/>
  <c r="H125" i="3"/>
  <c r="L126" i="3"/>
  <c r="K126" i="3"/>
  <c r="J126" i="3"/>
  <c r="I126" i="3"/>
  <c r="H126" i="3"/>
  <c r="L139" i="3"/>
  <c r="K139" i="3"/>
  <c r="J139" i="3"/>
  <c r="I139" i="3"/>
  <c r="H139" i="3"/>
  <c r="L140" i="3"/>
  <c r="K140" i="3"/>
  <c r="J140" i="3"/>
  <c r="I140" i="3"/>
  <c r="H140" i="3"/>
  <c r="L104" i="3"/>
  <c r="K104" i="3"/>
  <c r="J104" i="3"/>
  <c r="I104" i="3"/>
  <c r="H104" i="3"/>
  <c r="L103" i="3"/>
  <c r="K103" i="3"/>
  <c r="J103" i="3"/>
  <c r="I103" i="3"/>
  <c r="H103" i="3"/>
  <c r="L102" i="3"/>
  <c r="K102" i="3"/>
  <c r="J102" i="3"/>
  <c r="I102" i="3"/>
  <c r="H102" i="3"/>
  <c r="L28" i="3"/>
  <c r="K28" i="3"/>
  <c r="J28" i="3"/>
  <c r="I28" i="3"/>
  <c r="H28" i="3"/>
  <c r="L26" i="3"/>
  <c r="K26" i="3"/>
  <c r="J26" i="3"/>
  <c r="I26" i="3"/>
  <c r="H26" i="3"/>
  <c r="L25" i="3"/>
  <c r="K25" i="3"/>
  <c r="J25" i="3"/>
  <c r="I25" i="3"/>
  <c r="H25" i="3"/>
  <c r="L24" i="3"/>
  <c r="K24" i="3"/>
  <c r="J24" i="3"/>
  <c r="I24" i="3"/>
  <c r="H24" i="3"/>
  <c r="I23" i="3"/>
  <c r="J23" i="3" s="1"/>
  <c r="K23" i="3" s="1"/>
  <c r="L23" i="3" s="1"/>
  <c r="H23" i="3"/>
  <c r="H48" i="6"/>
  <c r="L41" i="6"/>
  <c r="K41" i="6"/>
  <c r="J41" i="6"/>
  <c r="I41" i="6"/>
  <c r="H41" i="6"/>
  <c r="L37" i="6"/>
  <c r="K37" i="6"/>
  <c r="J37" i="6"/>
  <c r="I37" i="6"/>
  <c r="H37" i="6"/>
  <c r="K35" i="6"/>
  <c r="L40" i="12"/>
  <c r="K40" i="12"/>
  <c r="J40" i="12"/>
  <c r="I40" i="12"/>
  <c r="H40" i="12"/>
  <c r="G39" i="12"/>
  <c r="F39" i="12"/>
  <c r="G40" i="12"/>
  <c r="F40" i="12"/>
  <c r="E40" i="12"/>
  <c r="E39" i="12" s="1"/>
  <c r="L38" i="12"/>
  <c r="K38" i="12"/>
  <c r="J38" i="12"/>
  <c r="I38" i="12"/>
  <c r="H38" i="12"/>
  <c r="G38" i="12"/>
  <c r="F38" i="12"/>
  <c r="E38" i="12"/>
  <c r="L29" i="12"/>
  <c r="K29" i="12"/>
  <c r="J29" i="12"/>
  <c r="I29" i="12"/>
  <c r="I28" i="12" s="1"/>
  <c r="H29" i="12"/>
  <c r="H28" i="12" s="1"/>
  <c r="L28" i="12"/>
  <c r="K28" i="12"/>
  <c r="J28" i="12"/>
  <c r="H26" i="12"/>
  <c r="I23" i="12"/>
  <c r="I26" i="12" s="1"/>
  <c r="J23" i="12" s="1"/>
  <c r="J26" i="12" s="1"/>
  <c r="K23" i="12" s="1"/>
  <c r="K26" i="12" s="1"/>
  <c r="L23" i="12" s="1"/>
  <c r="L26" i="12" s="1"/>
  <c r="G26" i="12"/>
  <c r="F26" i="12"/>
  <c r="E26" i="12"/>
  <c r="D26" i="12"/>
  <c r="C26" i="12"/>
  <c r="H23" i="12"/>
  <c r="H18" i="12"/>
  <c r="L14" i="12"/>
  <c r="K14" i="12"/>
  <c r="J14" i="12"/>
  <c r="I14" i="12"/>
  <c r="H14" i="12"/>
  <c r="K13" i="12"/>
  <c r="J13" i="12"/>
  <c r="I13" i="12"/>
  <c r="H13" i="12"/>
  <c r="L13" i="12"/>
  <c r="H10" i="12"/>
  <c r="L9" i="12"/>
  <c r="K9" i="12"/>
  <c r="J9" i="12"/>
  <c r="I9" i="12"/>
  <c r="H9" i="12"/>
  <c r="G64" i="4"/>
  <c r="L77" i="4"/>
  <c r="K77" i="4"/>
  <c r="J77" i="4"/>
  <c r="I77" i="4"/>
  <c r="H77" i="4"/>
  <c r="L81" i="4"/>
  <c r="K81" i="4"/>
  <c r="J81" i="4"/>
  <c r="I81" i="4"/>
  <c r="H81" i="4"/>
  <c r="L25" i="4"/>
  <c r="K25" i="4"/>
  <c r="J25" i="4"/>
  <c r="I25" i="4"/>
  <c r="H25" i="4"/>
  <c r="L11" i="3"/>
  <c r="K11" i="3"/>
  <c r="J11" i="3"/>
  <c r="I11" i="3"/>
  <c r="H11" i="3"/>
  <c r="L10" i="3"/>
  <c r="K10" i="3"/>
  <c r="J10" i="3"/>
  <c r="I10" i="3"/>
  <c r="H10" i="3"/>
  <c r="L9" i="3"/>
  <c r="K9" i="3"/>
  <c r="J9" i="3"/>
  <c r="I9" i="3"/>
  <c r="H9" i="3"/>
  <c r="L10" i="10"/>
  <c r="K10" i="10"/>
  <c r="J10" i="10"/>
  <c r="I10" i="10"/>
  <c r="H10" i="10"/>
  <c r="L16" i="3"/>
  <c r="K16" i="3"/>
  <c r="J16" i="3"/>
  <c r="I16" i="3"/>
  <c r="H16" i="3"/>
  <c r="L18" i="3"/>
  <c r="K18" i="3"/>
  <c r="J18" i="3"/>
  <c r="I18" i="3"/>
  <c r="H18" i="3"/>
  <c r="L17" i="3"/>
  <c r="K17" i="3"/>
  <c r="J17" i="3"/>
  <c r="I17" i="3"/>
  <c r="H17" i="3"/>
  <c r="L14" i="3"/>
  <c r="K14" i="3"/>
  <c r="J14" i="3"/>
  <c r="I14" i="3"/>
  <c r="H14" i="3"/>
  <c r="L15" i="3"/>
  <c r="K15" i="3"/>
  <c r="J15" i="3"/>
  <c r="I15" i="3"/>
  <c r="H15" i="3"/>
  <c r="L13" i="11"/>
  <c r="K13" i="11"/>
  <c r="J13" i="11"/>
  <c r="I13" i="11"/>
  <c r="H13" i="11"/>
  <c r="L12" i="11"/>
  <c r="K12" i="11"/>
  <c r="J12" i="11"/>
  <c r="I12" i="11"/>
  <c r="H12" i="11"/>
  <c r="L11" i="11"/>
  <c r="K11" i="11"/>
  <c r="J11" i="11"/>
  <c r="I11" i="11"/>
  <c r="H6" i="11"/>
  <c r="H9" i="11" s="1"/>
  <c r="I6" i="11" s="1"/>
  <c r="I9" i="11" s="1"/>
  <c r="J6" i="11" s="1"/>
  <c r="J9" i="11" s="1"/>
  <c r="K6" i="11" s="1"/>
  <c r="K9" i="11" s="1"/>
  <c r="L6" i="11" s="1"/>
  <c r="L9" i="11" s="1"/>
  <c r="G6" i="11"/>
  <c r="G9" i="11"/>
  <c r="F6" i="11"/>
  <c r="F9" i="11" s="1"/>
  <c r="L8" i="11"/>
  <c r="K8" i="11"/>
  <c r="J8" i="11"/>
  <c r="I8" i="11"/>
  <c r="H8" i="11"/>
  <c r="G8" i="11"/>
  <c r="F8" i="11"/>
  <c r="L7" i="11"/>
  <c r="K7" i="11"/>
  <c r="J7" i="11"/>
  <c r="I7" i="11"/>
  <c r="H7" i="11"/>
  <c r="G7" i="11"/>
  <c r="F7" i="11"/>
  <c r="E8" i="11"/>
  <c r="E9" i="11"/>
  <c r="E7" i="11"/>
  <c r="F15" i="10"/>
  <c r="E15" i="10"/>
  <c r="G15" i="10"/>
  <c r="G16" i="10"/>
  <c r="F16" i="10"/>
  <c r="E16" i="10"/>
  <c r="G14" i="10"/>
  <c r="F14" i="10"/>
  <c r="E14" i="10"/>
  <c r="G18" i="10"/>
  <c r="F18" i="10"/>
  <c r="E18" i="10"/>
  <c r="F32" i="10"/>
  <c r="E32" i="10"/>
  <c r="G32" i="10"/>
  <c r="G31" i="10"/>
  <c r="F31" i="10"/>
  <c r="E31" i="10"/>
  <c r="G30" i="10"/>
  <c r="F30" i="10"/>
  <c r="E30" i="10"/>
  <c r="L23" i="10"/>
  <c r="K23" i="10"/>
  <c r="J23" i="10"/>
  <c r="I23" i="10"/>
  <c r="H23" i="10"/>
  <c r="G22" i="10"/>
  <c r="F22" i="10"/>
  <c r="E22" i="10"/>
  <c r="G23" i="10"/>
  <c r="F23" i="10"/>
  <c r="E23" i="10"/>
  <c r="L24" i="4"/>
  <c r="K24" i="4"/>
  <c r="J24" i="4"/>
  <c r="I24" i="4"/>
  <c r="L30" i="6"/>
  <c r="K30" i="6"/>
  <c r="J30" i="6"/>
  <c r="I30" i="6"/>
  <c r="H30" i="6"/>
  <c r="L25" i="6"/>
  <c r="K25" i="6"/>
  <c r="J25" i="6"/>
  <c r="I25" i="6"/>
  <c r="H25" i="6"/>
  <c r="L21" i="6"/>
  <c r="K21" i="6"/>
  <c r="J21" i="6"/>
  <c r="I21" i="6"/>
  <c r="H21" i="6"/>
  <c r="L20" i="6"/>
  <c r="K20" i="6"/>
  <c r="J20" i="6"/>
  <c r="I20" i="6"/>
  <c r="H20" i="6"/>
  <c r="L19" i="6"/>
  <c r="K19" i="6"/>
  <c r="J19" i="6"/>
  <c r="I19" i="6"/>
  <c r="H19" i="6"/>
  <c r="L18" i="6"/>
  <c r="K18" i="6"/>
  <c r="J18" i="6"/>
  <c r="I18" i="6"/>
  <c r="H18" i="6"/>
  <c r="L15" i="6"/>
  <c r="K15" i="6"/>
  <c r="J15" i="6"/>
  <c r="I15" i="6"/>
  <c r="H15" i="6"/>
  <c r="L10" i="6"/>
  <c r="K10" i="6"/>
  <c r="J10" i="6"/>
  <c r="I10" i="6"/>
  <c r="H10" i="6"/>
  <c r="E6" i="11"/>
  <c r="H6" i="10"/>
  <c r="G11" i="10"/>
  <c r="F11" i="10"/>
  <c r="E11" i="10"/>
  <c r="D11" i="10"/>
  <c r="C11" i="10"/>
  <c r="L76" i="4"/>
  <c r="K76" i="4"/>
  <c r="J76" i="4"/>
  <c r="I76" i="4"/>
  <c r="H76" i="4"/>
  <c r="L71" i="4"/>
  <c r="K71" i="4"/>
  <c r="J71" i="4"/>
  <c r="I71" i="4"/>
  <c r="H71" i="4"/>
  <c r="L68" i="4"/>
  <c r="K68" i="4"/>
  <c r="J68" i="4"/>
  <c r="I68" i="4"/>
  <c r="H68" i="4"/>
  <c r="E70" i="4"/>
  <c r="F70" i="4" s="1"/>
  <c r="G70" i="4" s="1"/>
  <c r="H70" i="4" s="1"/>
  <c r="I70" i="4" s="1"/>
  <c r="J70" i="4" s="1"/>
  <c r="K70" i="4" s="1"/>
  <c r="L70" i="4" s="1"/>
  <c r="D70" i="4"/>
  <c r="L14" i="13"/>
  <c r="K14" i="13"/>
  <c r="J14" i="13"/>
  <c r="I14" i="13"/>
  <c r="H14" i="13"/>
  <c r="G14" i="13"/>
  <c r="F14" i="13"/>
  <c r="E14" i="13"/>
  <c r="D14" i="13"/>
  <c r="C14" i="13"/>
  <c r="L13" i="13"/>
  <c r="K13" i="13"/>
  <c r="J13" i="13"/>
  <c r="I13" i="13"/>
  <c r="H13" i="13"/>
  <c r="G13" i="13"/>
  <c r="F13" i="13"/>
  <c r="E13" i="13"/>
  <c r="D13" i="13"/>
  <c r="C13" i="13"/>
  <c r="L10" i="13"/>
  <c r="K10" i="13"/>
  <c r="J10" i="13"/>
  <c r="I10" i="13"/>
  <c r="H10" i="13"/>
  <c r="G10" i="13"/>
  <c r="F10" i="13"/>
  <c r="E10" i="13"/>
  <c r="D10" i="13"/>
  <c r="C10" i="13"/>
  <c r="L9" i="13"/>
  <c r="K9" i="13"/>
  <c r="J9" i="13"/>
  <c r="I9" i="13"/>
  <c r="H9" i="13"/>
  <c r="G9" i="13"/>
  <c r="F9" i="13"/>
  <c r="E9" i="13"/>
  <c r="D9" i="13"/>
  <c r="C9" i="13"/>
  <c r="L8" i="13"/>
  <c r="K8" i="13"/>
  <c r="J8" i="13"/>
  <c r="I8" i="13"/>
  <c r="H8" i="13"/>
  <c r="G8" i="13"/>
  <c r="F8" i="13"/>
  <c r="E8" i="13"/>
  <c r="D8" i="13"/>
  <c r="C8" i="13"/>
  <c r="L11" i="9"/>
  <c r="K11" i="9"/>
  <c r="J11" i="9"/>
  <c r="I11" i="9"/>
  <c r="H13" i="9"/>
  <c r="I10" i="9" s="1"/>
  <c r="I13" i="9" s="1"/>
  <c r="J10" i="9" s="1"/>
  <c r="J13" i="9" s="1"/>
  <c r="K10" i="9" s="1"/>
  <c r="K13" i="9" s="1"/>
  <c r="L10" i="9" s="1"/>
  <c r="L13" i="9" s="1"/>
  <c r="H11" i="9"/>
  <c r="H10" i="9"/>
  <c r="G13" i="9"/>
  <c r="L7" i="9"/>
  <c r="K7" i="9"/>
  <c r="J7" i="9"/>
  <c r="I7" i="9"/>
  <c r="H7" i="9"/>
  <c r="G8" i="9"/>
  <c r="F8" i="9"/>
  <c r="E8" i="9"/>
  <c r="L6" i="9"/>
  <c r="K6" i="9"/>
  <c r="J6" i="9"/>
  <c r="I6" i="9"/>
  <c r="H6" i="9"/>
  <c r="G6" i="9"/>
  <c r="F6" i="9"/>
  <c r="E6" i="9"/>
  <c r="D6" i="9"/>
  <c r="C6" i="9"/>
  <c r="L11" i="8"/>
  <c r="K11" i="8"/>
  <c r="J11" i="8"/>
  <c r="L12" i="8"/>
  <c r="K12" i="8"/>
  <c r="J12" i="8"/>
  <c r="I12" i="8"/>
  <c r="I11" i="8"/>
  <c r="H13" i="8"/>
  <c r="I10" i="8" s="1"/>
  <c r="I13" i="8" s="1"/>
  <c r="J10" i="8" s="1"/>
  <c r="J13" i="8" s="1"/>
  <c r="K10" i="8" s="1"/>
  <c r="K13" i="8" s="1"/>
  <c r="L10" i="8" s="1"/>
  <c r="L13" i="8" s="1"/>
  <c r="H12" i="8"/>
  <c r="L75" i="8"/>
  <c r="K75" i="8"/>
  <c r="J75" i="8"/>
  <c r="I75" i="8"/>
  <c r="H75" i="8"/>
  <c r="L72" i="8"/>
  <c r="K72" i="8"/>
  <c r="J72" i="8"/>
  <c r="I72" i="8"/>
  <c r="H72" i="8"/>
  <c r="L62" i="8"/>
  <c r="K62" i="8"/>
  <c r="J62" i="8"/>
  <c r="I62" i="8"/>
  <c r="H62" i="8"/>
  <c r="L70" i="8"/>
  <c r="L69" i="8"/>
  <c r="K69" i="8"/>
  <c r="L68" i="8"/>
  <c r="K68" i="8"/>
  <c r="J68" i="8"/>
  <c r="L67" i="8"/>
  <c r="K67" i="8"/>
  <c r="J67" i="8"/>
  <c r="K66" i="8"/>
  <c r="J66" i="8"/>
  <c r="I67" i="8"/>
  <c r="L66" i="8"/>
  <c r="I66" i="8"/>
  <c r="H66" i="8"/>
  <c r="D70" i="8"/>
  <c r="D69" i="8"/>
  <c r="D68" i="8"/>
  <c r="D67" i="8"/>
  <c r="D66" i="8"/>
  <c r="C66" i="8" a="1"/>
  <c r="C66" i="8" s="1"/>
  <c r="C62" i="8"/>
  <c r="C61" i="8"/>
  <c r="L58" i="8"/>
  <c r="K58" i="8"/>
  <c r="J58" i="8"/>
  <c r="I58" i="8"/>
  <c r="H58" i="8"/>
  <c r="L56" i="8"/>
  <c r="L55" i="8"/>
  <c r="K55" i="8"/>
  <c r="L54" i="8"/>
  <c r="K54" i="8"/>
  <c r="J54" i="8"/>
  <c r="L53" i="8"/>
  <c r="K53" i="8"/>
  <c r="J53" i="8"/>
  <c r="I53" i="8"/>
  <c r="L52" i="8"/>
  <c r="K52" i="8"/>
  <c r="J52" i="8"/>
  <c r="I52" i="8"/>
  <c r="H52" i="8"/>
  <c r="L48" i="8"/>
  <c r="K48" i="8"/>
  <c r="J48" i="8"/>
  <c r="I48" i="8"/>
  <c r="H48" i="8"/>
  <c r="C52" i="8" a="1"/>
  <c r="C52" i="8" s="1"/>
  <c r="D56" i="8"/>
  <c r="D55" i="8"/>
  <c r="D54" i="8"/>
  <c r="D53" i="8"/>
  <c r="D52" i="8"/>
  <c r="C48" i="8"/>
  <c r="C47" i="8"/>
  <c r="L44" i="8"/>
  <c r="K44" i="8"/>
  <c r="J44" i="8"/>
  <c r="I44" i="8"/>
  <c r="H44" i="8"/>
  <c r="L42" i="8"/>
  <c r="L41" i="8"/>
  <c r="K41" i="8"/>
  <c r="L40" i="8"/>
  <c r="K40" i="8"/>
  <c r="J40" i="8"/>
  <c r="L39" i="8"/>
  <c r="K39" i="8"/>
  <c r="J39" i="8"/>
  <c r="I39" i="8"/>
  <c r="L38" i="8"/>
  <c r="K38" i="8"/>
  <c r="J38" i="8"/>
  <c r="I38" i="8"/>
  <c r="H38" i="8"/>
  <c r="D42" i="8"/>
  <c r="D41" i="8"/>
  <c r="D40" i="8"/>
  <c r="D39" i="8"/>
  <c r="D38" i="8"/>
  <c r="C38" i="8" a="1"/>
  <c r="C38" i="8" s="1"/>
  <c r="L34" i="8"/>
  <c r="K34" i="8"/>
  <c r="J34" i="8"/>
  <c r="I34" i="8"/>
  <c r="H34" i="8"/>
  <c r="C34" i="8"/>
  <c r="C33" i="8"/>
  <c r="L29" i="8"/>
  <c r="K29" i="8"/>
  <c r="J29" i="8"/>
  <c r="I29" i="8"/>
  <c r="H29" i="8"/>
  <c r="L28" i="8"/>
  <c r="K28" i="8"/>
  <c r="J28" i="8"/>
  <c r="I28" i="8"/>
  <c r="H28" i="8"/>
  <c r="L27" i="8"/>
  <c r="K27" i="8"/>
  <c r="J27" i="8"/>
  <c r="I27" i="8"/>
  <c r="H27" i="8"/>
  <c r="L26" i="8"/>
  <c r="K26" i="8"/>
  <c r="J26" i="8"/>
  <c r="I26" i="8"/>
  <c r="H26" i="8"/>
  <c r="J20" i="8"/>
  <c r="J19" i="8"/>
  <c r="J18" i="8"/>
  <c r="J17" i="8"/>
  <c r="H11" i="8"/>
  <c r="H10" i="8"/>
  <c r="G13" i="8"/>
  <c r="F13" i="8"/>
  <c r="E13" i="8"/>
  <c r="D13" i="8"/>
  <c r="C13" i="8"/>
  <c r="L7" i="8"/>
  <c r="K7" i="8"/>
  <c r="J7" i="8"/>
  <c r="I7" i="8"/>
  <c r="H7" i="8"/>
  <c r="G8" i="8"/>
  <c r="F8" i="8"/>
  <c r="E8" i="8"/>
  <c r="G7" i="8"/>
  <c r="F7" i="8"/>
  <c r="E7" i="8"/>
  <c r="L116" i="3" l="1"/>
  <c r="H116" i="3"/>
  <c r="I116" i="3"/>
  <c r="H11" i="11"/>
  <c r="H24" i="4" s="1"/>
  <c r="L6" i="8"/>
  <c r="K6" i="8"/>
  <c r="J6" i="8"/>
  <c r="I6" i="8"/>
  <c r="H6" i="8"/>
  <c r="G6" i="8"/>
  <c r="F6" i="8"/>
  <c r="E6" i="8"/>
  <c r="D6" i="8"/>
  <c r="C6" i="8"/>
  <c r="G61" i="4"/>
  <c r="L57" i="4"/>
  <c r="K57" i="4"/>
  <c r="J57" i="4"/>
  <c r="I57" i="4"/>
  <c r="H57" i="4"/>
  <c r="L56" i="4"/>
  <c r="K56" i="4"/>
  <c r="J56" i="4"/>
  <c r="I56" i="4"/>
  <c r="H56" i="4"/>
  <c r="L55" i="4"/>
  <c r="K55" i="4"/>
  <c r="J55" i="4"/>
  <c r="I55" i="4"/>
  <c r="H55" i="4"/>
  <c r="L53" i="4"/>
  <c r="K53" i="4"/>
  <c r="J53" i="4"/>
  <c r="I53" i="4"/>
  <c r="H53" i="4"/>
  <c r="L52" i="4"/>
  <c r="K52" i="4"/>
  <c r="J52" i="4"/>
  <c r="I52" i="4"/>
  <c r="H52" i="4"/>
  <c r="L51" i="4"/>
  <c r="K51" i="4"/>
  <c r="J51" i="4"/>
  <c r="I51" i="4"/>
  <c r="H51" i="4"/>
  <c r="L44" i="7"/>
  <c r="K44" i="7"/>
  <c r="J44" i="7"/>
  <c r="I44" i="7"/>
  <c r="H44" i="7"/>
  <c r="G44" i="7"/>
  <c r="F44" i="7"/>
  <c r="E44" i="7"/>
  <c r="L42" i="7"/>
  <c r="K42" i="7"/>
  <c r="J42" i="7"/>
  <c r="I42" i="7"/>
  <c r="H42" i="7"/>
  <c r="G42" i="7"/>
  <c r="F42" i="7"/>
  <c r="E42" i="7"/>
  <c r="L41" i="7"/>
  <c r="K41" i="7"/>
  <c r="J41" i="7"/>
  <c r="I41" i="7"/>
  <c r="H41" i="7"/>
  <c r="G41" i="7"/>
  <c r="F41" i="7"/>
  <c r="E41" i="7"/>
  <c r="L40" i="7"/>
  <c r="K40" i="7"/>
  <c r="J40" i="7"/>
  <c r="I40" i="7"/>
  <c r="H40" i="7"/>
  <c r="G40" i="7"/>
  <c r="F40" i="7"/>
  <c r="E40" i="7"/>
  <c r="G39" i="7"/>
  <c r="H38" i="7"/>
  <c r="G38" i="7"/>
  <c r="G36" i="7"/>
  <c r="E36" i="7"/>
  <c r="L17" i="7"/>
  <c r="G33" i="7"/>
  <c r="F33" i="7"/>
  <c r="E33" i="7"/>
  <c r="D33" i="7"/>
  <c r="G17" i="7"/>
  <c r="F17" i="7"/>
  <c r="E17" i="7"/>
  <c r="D17" i="7"/>
  <c r="C17" i="7"/>
  <c r="G16" i="7"/>
  <c r="G32" i="7" s="1"/>
  <c r="F16" i="7"/>
  <c r="F32" i="7" s="1"/>
  <c r="E16" i="7"/>
  <c r="D16" i="7"/>
  <c r="C16" i="7"/>
  <c r="G15" i="7"/>
  <c r="G18" i="7" s="1"/>
  <c r="F15" i="7"/>
  <c r="F18" i="7" s="1"/>
  <c r="E15" i="7"/>
  <c r="E18" i="7" s="1"/>
  <c r="D15" i="7"/>
  <c r="D18" i="7" s="1"/>
  <c r="C15" i="7"/>
  <c r="C18" i="7" s="1"/>
  <c r="E13" i="7"/>
  <c r="D13" i="7"/>
  <c r="I12" i="7"/>
  <c r="H12" i="7"/>
  <c r="I38" i="7" s="1"/>
  <c r="G29" i="7"/>
  <c r="F29" i="7"/>
  <c r="G12" i="7"/>
  <c r="F12" i="7"/>
  <c r="E12" i="7"/>
  <c r="F38" i="7" s="1"/>
  <c r="D12" i="7"/>
  <c r="E38" i="7" s="1"/>
  <c r="C12" i="7"/>
  <c r="G11" i="7"/>
  <c r="G13" i="7" s="1"/>
  <c r="G20" i="7" s="1"/>
  <c r="F11" i="7"/>
  <c r="F13" i="7" s="1"/>
  <c r="F20" i="7" s="1"/>
  <c r="G22" i="7" s="1"/>
  <c r="E11" i="7"/>
  <c r="F37" i="7" s="1"/>
  <c r="D11" i="7"/>
  <c r="E37" i="7" s="1"/>
  <c r="C11" i="7"/>
  <c r="G10" i="7"/>
  <c r="F10" i="7"/>
  <c r="E10" i="7"/>
  <c r="F36" i="7" s="1"/>
  <c r="D10" i="7"/>
  <c r="C10" i="7"/>
  <c r="C13" i="7" s="1"/>
  <c r="C20" i="7" s="1"/>
  <c r="L7" i="7"/>
  <c r="L16" i="7" s="1"/>
  <c r="K7" i="7"/>
  <c r="J7" i="7"/>
  <c r="J16" i="7" s="1"/>
  <c r="I7" i="7"/>
  <c r="I17" i="7" s="1"/>
  <c r="H7" i="7"/>
  <c r="H17" i="7" s="1"/>
  <c r="G7" i="7"/>
  <c r="G28" i="7" s="1"/>
  <c r="F7" i="7"/>
  <c r="F28" i="7" s="1"/>
  <c r="E7" i="7"/>
  <c r="E28" i="7" s="1"/>
  <c r="D7" i="7"/>
  <c r="D28" i="7" s="1"/>
  <c r="C7" i="7"/>
  <c r="L6" i="7"/>
  <c r="L12" i="7" s="1"/>
  <c r="K6" i="7"/>
  <c r="K12" i="7" s="1"/>
  <c r="L38" i="7" s="1"/>
  <c r="J6" i="7"/>
  <c r="J12" i="7" s="1"/>
  <c r="K38" i="7" s="1"/>
  <c r="I6" i="7"/>
  <c r="H6" i="7"/>
  <c r="G6" i="7"/>
  <c r="G27" i="7" s="1"/>
  <c r="F6" i="7"/>
  <c r="F27" i="7" s="1"/>
  <c r="E6" i="7"/>
  <c r="E27" i="7" s="1"/>
  <c r="D6" i="7"/>
  <c r="D27" i="7" s="1"/>
  <c r="C6" i="7"/>
  <c r="L13" i="4"/>
  <c r="K13" i="4"/>
  <c r="J13" i="4"/>
  <c r="I13" i="4"/>
  <c r="H13" i="4"/>
  <c r="L12" i="4"/>
  <c r="K12" i="4"/>
  <c r="J12" i="4"/>
  <c r="I12" i="4"/>
  <c r="H12" i="4"/>
  <c r="L11" i="4"/>
  <c r="K11" i="4"/>
  <c r="J11" i="4"/>
  <c r="I11" i="4"/>
  <c r="H11" i="4"/>
  <c r="L10" i="4"/>
  <c r="K10" i="4"/>
  <c r="J10" i="4"/>
  <c r="I10" i="4"/>
  <c r="H10" i="4"/>
  <c r="L8" i="4"/>
  <c r="K8" i="4"/>
  <c r="J8" i="4"/>
  <c r="I8" i="4"/>
  <c r="H8" i="4"/>
  <c r="L7" i="4"/>
  <c r="K7" i="4"/>
  <c r="J7" i="4"/>
  <c r="I7" i="4"/>
  <c r="H7" i="4"/>
  <c r="L6" i="4"/>
  <c r="K6" i="4"/>
  <c r="J6" i="4"/>
  <c r="I6" i="4"/>
  <c r="H6" i="4"/>
  <c r="L106" i="4"/>
  <c r="K106" i="4"/>
  <c r="J106" i="4"/>
  <c r="I106" i="4"/>
  <c r="H106" i="4"/>
  <c r="I103" i="4"/>
  <c r="J103" i="4" s="1"/>
  <c r="K103" i="4" s="1"/>
  <c r="L103" i="4" s="1"/>
  <c r="H103" i="4"/>
  <c r="L101" i="4"/>
  <c r="K101" i="4"/>
  <c r="J101" i="4"/>
  <c r="I101" i="4"/>
  <c r="H101" i="4"/>
  <c r="L100" i="4"/>
  <c r="K100" i="4"/>
  <c r="J100" i="4"/>
  <c r="I100" i="4"/>
  <c r="H100" i="4"/>
  <c r="I97" i="4"/>
  <c r="J97" i="4" s="1"/>
  <c r="K97" i="4" s="1"/>
  <c r="L97" i="4" s="1"/>
  <c r="H97" i="4"/>
  <c r="I94" i="4"/>
  <c r="J94" i="4" s="1"/>
  <c r="K94" i="4" s="1"/>
  <c r="L94" i="4" s="1"/>
  <c r="H94" i="4"/>
  <c r="H91" i="4"/>
  <c r="I91" i="4" s="1"/>
  <c r="J91" i="4" s="1"/>
  <c r="K91" i="4" s="1"/>
  <c r="L91" i="4" s="1"/>
  <c r="I88" i="4"/>
  <c r="J88" i="4" s="1"/>
  <c r="K88" i="4" s="1"/>
  <c r="L88" i="4" s="1"/>
  <c r="H88" i="4"/>
  <c r="I85" i="4"/>
  <c r="J85" i="4" s="1"/>
  <c r="K85" i="4" s="1"/>
  <c r="L85" i="4" s="1"/>
  <c r="H85" i="4"/>
  <c r="E20" i="7" l="1"/>
  <c r="F22" i="7" s="1"/>
  <c r="J38" i="7"/>
  <c r="D20" i="7"/>
  <c r="E22" i="7" s="1"/>
  <c r="G24" i="7"/>
  <c r="G31" i="7" s="1"/>
  <c r="K16" i="7"/>
  <c r="D29" i="7"/>
  <c r="D24" i="7"/>
  <c r="D31" i="7" s="1"/>
  <c r="H16" i="7"/>
  <c r="J17" i="7"/>
  <c r="E39" i="7"/>
  <c r="H11" i="7"/>
  <c r="E29" i="7"/>
  <c r="E24" i="7"/>
  <c r="E31" i="7" s="1"/>
  <c r="I16" i="7"/>
  <c r="K17" i="7"/>
  <c r="F39" i="7"/>
  <c r="G37" i="7"/>
  <c r="D32" i="7"/>
  <c r="E32" i="7"/>
  <c r="F24" i="7"/>
  <c r="F31" i="7" s="1"/>
  <c r="I11" i="7" l="1"/>
  <c r="H24" i="7"/>
  <c r="H15" i="7" s="1"/>
  <c r="H37" i="7"/>
  <c r="D22" i="7"/>
  <c r="H39" i="7" l="1"/>
  <c r="H18" i="7"/>
  <c r="J11" i="7"/>
  <c r="J37" i="7" s="1"/>
  <c r="I24" i="7"/>
  <c r="I15" i="7" s="1"/>
  <c r="I37" i="7"/>
  <c r="I39" i="7" l="1"/>
  <c r="I18" i="7"/>
  <c r="K11" i="7"/>
  <c r="K37" i="7"/>
  <c r="J24" i="7"/>
  <c r="J15" i="7" s="1"/>
  <c r="J39" i="7" l="1"/>
  <c r="J18" i="7"/>
  <c r="L11" i="7"/>
  <c r="L24" i="7" s="1"/>
  <c r="L37" i="7"/>
  <c r="K24" i="7"/>
  <c r="K15" i="7" s="1"/>
  <c r="L15" i="7" l="1"/>
  <c r="K18" i="7"/>
  <c r="K39" i="7"/>
  <c r="L39" i="7" l="1"/>
  <c r="L18" i="7"/>
  <c r="L31" i="4" l="1"/>
  <c r="L33" i="4" s="1"/>
  <c r="K31" i="4"/>
  <c r="K33" i="4" s="1"/>
  <c r="J31" i="4"/>
  <c r="J33" i="4" s="1"/>
  <c r="I31" i="4"/>
  <c r="I33" i="4" s="1"/>
  <c r="H31" i="4"/>
  <c r="H33" i="4" s="1"/>
  <c r="H25" i="10"/>
  <c r="L25" i="10"/>
  <c r="K25" i="10"/>
  <c r="J25" i="10"/>
  <c r="I25" i="10"/>
  <c r="G7" i="9"/>
  <c r="F7" i="9"/>
  <c r="E7" i="9"/>
  <c r="G21" i="8" l="1"/>
  <c r="F21" i="8"/>
  <c r="A1" i="12" l="1"/>
  <c r="G141" i="3" l="1"/>
  <c r="F141" i="3"/>
  <c r="E141" i="3"/>
  <c r="G140" i="3"/>
  <c r="F140" i="3"/>
  <c r="E140" i="3"/>
  <c r="G13" i="11" l="1"/>
  <c r="F13" i="11"/>
  <c r="E13" i="11"/>
  <c r="M47" i="3" l="1"/>
  <c r="B53" i="8"/>
  <c r="B54" i="8" s="1"/>
  <c r="B55" i="8" s="1"/>
  <c r="B56" i="8" s="1"/>
  <c r="G38" i="4"/>
  <c r="F38" i="4"/>
  <c r="E38" i="4"/>
  <c r="D100" i="4"/>
  <c r="E100" i="4"/>
  <c r="G100" i="4"/>
  <c r="F100" i="4"/>
  <c r="G156" i="3"/>
  <c r="F156" i="3"/>
  <c r="E156" i="3"/>
  <c r="G103" i="3"/>
  <c r="G108" i="3" s="1"/>
  <c r="G114" i="3" s="1"/>
  <c r="G102" i="3"/>
  <c r="F103" i="3"/>
  <c r="F108" i="3" s="1"/>
  <c r="F114" i="3" s="1"/>
  <c r="F102" i="3"/>
  <c r="E103" i="3"/>
  <c r="E108" i="3" s="1"/>
  <c r="E114" i="3" s="1"/>
  <c r="E102" i="3"/>
  <c r="D103" i="3"/>
  <c r="D108" i="3" s="1"/>
  <c r="D114" i="3" s="1"/>
  <c r="D102" i="3"/>
  <c r="C103" i="3"/>
  <c r="C102" i="3"/>
  <c r="G76" i="4"/>
  <c r="F76" i="4"/>
  <c r="E76" i="4"/>
  <c r="D76" i="4"/>
  <c r="G68" i="4"/>
  <c r="F68" i="4"/>
  <c r="E68" i="4"/>
  <c r="D68" i="4"/>
  <c r="C68" i="4"/>
  <c r="C71" i="4" s="1"/>
  <c r="C67" i="4"/>
  <c r="C25" i="4"/>
  <c r="D25" i="4"/>
  <c r="E25" i="4"/>
  <c r="F25" i="4"/>
  <c r="G25" i="4"/>
  <c r="E43" i="6"/>
  <c r="F43" i="6"/>
  <c r="G43" i="6"/>
  <c r="G30" i="6"/>
  <c r="G22" i="6"/>
  <c r="G71" i="4" l="1"/>
  <c r="D71" i="4"/>
  <c r="E107" i="3"/>
  <c r="E113" i="3" s="1"/>
  <c r="E71" i="4"/>
  <c r="F71" i="4"/>
  <c r="F107" i="3"/>
  <c r="G107" i="3"/>
  <c r="G113" i="3" s="1"/>
  <c r="F121" i="3"/>
  <c r="D107" i="3"/>
  <c r="D113" i="3" s="1"/>
  <c r="F113" i="3"/>
  <c r="G121" i="3"/>
  <c r="F104" i="3"/>
  <c r="F109" i="3" s="1"/>
  <c r="F115" i="3" s="1"/>
  <c r="G104" i="3"/>
  <c r="G109" i="3" s="1"/>
  <c r="G115" i="3" s="1"/>
  <c r="D104" i="3"/>
  <c r="D109" i="3" s="1"/>
  <c r="D115" i="3" s="1"/>
  <c r="D121" i="3"/>
  <c r="E104" i="3"/>
  <c r="E109" i="3" s="1"/>
  <c r="E115" i="3" s="1"/>
  <c r="E121" i="3"/>
  <c r="C75" i="4"/>
  <c r="G46" i="6"/>
  <c r="G49" i="6" s="1"/>
  <c r="G32" i="6"/>
  <c r="G116" i="3" l="1"/>
  <c r="F116" i="3"/>
  <c r="E116" i="3"/>
  <c r="D116" i="3"/>
  <c r="C5" i="3"/>
  <c r="G104" i="4"/>
  <c r="F104" i="4"/>
  <c r="E104" i="4"/>
  <c r="G98" i="4"/>
  <c r="F98" i="4"/>
  <c r="E98" i="4"/>
  <c r="G95" i="4"/>
  <c r="F95" i="4"/>
  <c r="E95" i="4"/>
  <c r="G92" i="4"/>
  <c r="F92" i="4"/>
  <c r="E92" i="4"/>
  <c r="G89" i="4"/>
  <c r="F89" i="4"/>
  <c r="E89" i="4"/>
  <c r="G86" i="4"/>
  <c r="F86" i="4"/>
  <c r="E86" i="4"/>
  <c r="G63" i="4"/>
  <c r="F63" i="4"/>
  <c r="E63" i="4"/>
  <c r="D63" i="4"/>
  <c r="F61" i="4"/>
  <c r="E61" i="4"/>
  <c r="D61" i="4"/>
  <c r="G58" i="4"/>
  <c r="F58" i="4"/>
  <c r="E58" i="4"/>
  <c r="D58" i="4"/>
  <c r="G56" i="4"/>
  <c r="F56" i="4"/>
  <c r="E56" i="4"/>
  <c r="D56" i="4"/>
  <c r="G55" i="4"/>
  <c r="F55" i="4"/>
  <c r="E55" i="4"/>
  <c r="D55" i="4"/>
  <c r="G52" i="4"/>
  <c r="F52" i="4"/>
  <c r="E52" i="4"/>
  <c r="D52" i="4"/>
  <c r="G51" i="4"/>
  <c r="F51" i="4"/>
  <c r="E51" i="4"/>
  <c r="D51" i="4"/>
  <c r="G42" i="4"/>
  <c r="F42" i="4"/>
  <c r="E42" i="4"/>
  <c r="D42" i="4"/>
  <c r="C42" i="4"/>
  <c r="G39" i="4"/>
  <c r="F39" i="4"/>
  <c r="E39" i="4"/>
  <c r="D39" i="4"/>
  <c r="C39" i="4"/>
  <c r="G36" i="4"/>
  <c r="F36" i="4"/>
  <c r="E36" i="4"/>
  <c r="D36" i="4"/>
  <c r="C36" i="4"/>
  <c r="G35" i="4"/>
  <c r="F35" i="4"/>
  <c r="E35" i="4"/>
  <c r="D35" i="4"/>
  <c r="C35" i="4"/>
  <c r="G32" i="4"/>
  <c r="F32" i="4"/>
  <c r="E32" i="4"/>
  <c r="D32" i="4"/>
  <c r="C32" i="4"/>
  <c r="G31" i="4"/>
  <c r="F31" i="4"/>
  <c r="E31" i="4"/>
  <c r="D31" i="4"/>
  <c r="C31" i="4"/>
  <c r="G8" i="4"/>
  <c r="G33" i="4" s="1"/>
  <c r="F8" i="4"/>
  <c r="E8" i="4"/>
  <c r="D8" i="4"/>
  <c r="C8" i="4"/>
  <c r="E12" i="4" l="1"/>
  <c r="E139" i="3" s="1"/>
  <c r="E125" i="3"/>
  <c r="F12" i="4"/>
  <c r="F139" i="3" s="1"/>
  <c r="F125" i="3"/>
  <c r="G12" i="4"/>
  <c r="G139" i="3" s="1"/>
  <c r="G125" i="3"/>
  <c r="D12" i="4"/>
  <c r="D16" i="4" s="1"/>
  <c r="D125" i="3"/>
  <c r="C12" i="4"/>
  <c r="C126" i="3" s="1"/>
  <c r="C125" i="3"/>
  <c r="C5" i="6"/>
  <c r="C52" i="3"/>
  <c r="C16" i="4"/>
  <c r="G53" i="4"/>
  <c r="F33" i="4"/>
  <c r="F37" i="4"/>
  <c r="G106" i="4"/>
  <c r="E33" i="4"/>
  <c r="F53" i="4"/>
  <c r="F106" i="4"/>
  <c r="E106" i="4"/>
  <c r="E53" i="4"/>
  <c r="D33" i="4"/>
  <c r="C37" i="4"/>
  <c r="D106" i="4"/>
  <c r="C33" i="4"/>
  <c r="D53" i="4"/>
  <c r="C100" i="4"/>
  <c r="C106" i="4" s="1"/>
  <c r="D57" i="4" l="1"/>
  <c r="E37" i="4"/>
  <c r="G37" i="4"/>
  <c r="G16" i="4"/>
  <c r="G18" i="4" s="1"/>
  <c r="D41" i="4"/>
  <c r="D47" i="4"/>
  <c r="D60" i="4"/>
  <c r="E57" i="4"/>
  <c r="D37" i="4"/>
  <c r="F57" i="4"/>
  <c r="G57" i="4"/>
  <c r="G151" i="3"/>
  <c r="G150" i="3"/>
  <c r="E151" i="3"/>
  <c r="E150" i="3"/>
  <c r="F151" i="3"/>
  <c r="F150" i="3"/>
  <c r="C47" i="4"/>
  <c r="C18" i="4"/>
  <c r="C20" i="4" s="1"/>
  <c r="C41" i="4"/>
  <c r="D18" i="4"/>
  <c r="D20" i="4" s="1"/>
  <c r="D126" i="3"/>
  <c r="D77" i="4"/>
  <c r="D81" i="4" s="1"/>
  <c r="F16" i="4"/>
  <c r="F77" i="4"/>
  <c r="F81" i="4" s="1"/>
  <c r="F126" i="3"/>
  <c r="G126" i="3"/>
  <c r="G77" i="4"/>
  <c r="G81" i="4" s="1"/>
  <c r="E16" i="4"/>
  <c r="E77" i="4"/>
  <c r="E81" i="4" s="1"/>
  <c r="E126" i="3"/>
  <c r="G41" i="4"/>
  <c r="G47" i="4"/>
  <c r="E101" i="4"/>
  <c r="F101" i="4"/>
  <c r="G101" i="4"/>
  <c r="D62" i="4" l="1"/>
  <c r="G20" i="4"/>
  <c r="G43" i="4"/>
  <c r="G134" i="3"/>
  <c r="G44" i="4"/>
  <c r="C43" i="4"/>
  <c r="G60" i="4"/>
  <c r="C44" i="4"/>
  <c r="G45" i="4"/>
  <c r="D44" i="4"/>
  <c r="D134" i="3"/>
  <c r="D43" i="4"/>
  <c r="E41" i="4"/>
  <c r="E18" i="4"/>
  <c r="E47" i="4"/>
  <c r="E60" i="4"/>
  <c r="C45" i="4"/>
  <c r="C127" i="3"/>
  <c r="C69" i="4"/>
  <c r="C72" i="4" s="1"/>
  <c r="C157" i="3"/>
  <c r="C158" i="3" s="1"/>
  <c r="C159" i="3" s="1"/>
  <c r="D69" i="4"/>
  <c r="D157" i="3"/>
  <c r="D158" i="3" s="1"/>
  <c r="D159" i="3" s="1"/>
  <c r="D78" i="4"/>
  <c r="D127" i="3"/>
  <c r="G127" i="3"/>
  <c r="G69" i="4"/>
  <c r="G157" i="3"/>
  <c r="G158" i="3" s="1"/>
  <c r="G159" i="3" s="1"/>
  <c r="F18" i="4"/>
  <c r="F60" i="4"/>
  <c r="F41" i="4"/>
  <c r="F47" i="4"/>
  <c r="D45" i="4"/>
  <c r="D64" i="4"/>
  <c r="G72" i="4" l="1"/>
  <c r="D72" i="4"/>
  <c r="F20" i="4"/>
  <c r="F134" i="3"/>
  <c r="G62" i="4"/>
  <c r="F43" i="4"/>
  <c r="F44" i="4"/>
  <c r="F62" i="4"/>
  <c r="E20" i="4"/>
  <c r="E134" i="3"/>
  <c r="E44" i="4"/>
  <c r="E43" i="4"/>
  <c r="E62" i="4"/>
  <c r="D82" i="4"/>
  <c r="D80" i="4"/>
  <c r="E157" i="3" l="1"/>
  <c r="E158" i="3" s="1"/>
  <c r="E159" i="3" s="1"/>
  <c r="E78" i="4"/>
  <c r="E127" i="3"/>
  <c r="E69" i="4"/>
  <c r="E72" i="4" s="1"/>
  <c r="E45" i="4"/>
  <c r="E64" i="4"/>
  <c r="F45" i="4"/>
  <c r="F78" i="4"/>
  <c r="F127" i="3"/>
  <c r="F69" i="4"/>
  <c r="F72" i="4" s="1"/>
  <c r="F157" i="3"/>
  <c r="F158" i="3" s="1"/>
  <c r="F159" i="3" s="1"/>
  <c r="F64" i="4"/>
  <c r="G78" i="4"/>
  <c r="G80" i="4" s="1"/>
  <c r="G82" i="4" l="1"/>
  <c r="E82" i="4"/>
  <c r="E80" i="4"/>
  <c r="F82" i="4"/>
  <c r="F80" i="4"/>
  <c r="A1" i="13" l="1"/>
  <c r="B67" i="8" l="1"/>
  <c r="B68" i="8" s="1"/>
  <c r="B69" i="8" s="1"/>
  <c r="B70" i="8" s="1"/>
  <c r="A1" i="11"/>
  <c r="A1" i="10"/>
  <c r="A1" i="9"/>
  <c r="A1" i="8"/>
  <c r="A1" i="7"/>
  <c r="B39" i="8"/>
  <c r="B40" i="8" s="1"/>
  <c r="B41" i="8" s="1"/>
  <c r="B42" i="8" s="1"/>
  <c r="B29" i="8"/>
  <c r="B28" i="8"/>
  <c r="B27" i="8"/>
  <c r="B26" i="8"/>
  <c r="F30" i="6"/>
  <c r="F22" i="6"/>
  <c r="A1" i="6"/>
  <c r="C43" i="6"/>
  <c r="C30" i="6"/>
  <c r="E30" i="6"/>
  <c r="C22" i="6"/>
  <c r="E22" i="6"/>
  <c r="C32" i="6" l="1"/>
  <c r="E32" i="6"/>
  <c r="F46" i="6"/>
  <c r="F49" i="6" s="1"/>
  <c r="F32" i="6"/>
  <c r="E46" i="6"/>
  <c r="E49" i="6" s="1"/>
  <c r="C46" i="6"/>
  <c r="C49" i="6" s="1"/>
  <c r="G44" i="3" l="1"/>
  <c r="G28" i="3"/>
  <c r="G12" i="3"/>
  <c r="F44" i="3"/>
  <c r="F28" i="3"/>
  <c r="F12" i="3"/>
  <c r="E44" i="3"/>
  <c r="E28" i="3"/>
  <c r="E12" i="3"/>
  <c r="D44" i="3"/>
  <c r="D28" i="3"/>
  <c r="D12" i="3"/>
  <c r="C44" i="3"/>
  <c r="C28" i="3"/>
  <c r="C12" i="3"/>
  <c r="C5" i="13"/>
  <c r="A1" i="3"/>
  <c r="F122" i="3" l="1"/>
  <c r="E122" i="3"/>
  <c r="G122" i="3"/>
  <c r="G100" i="3"/>
  <c r="G99" i="3"/>
  <c r="E98" i="3"/>
  <c r="F98" i="3"/>
  <c r="E99" i="3"/>
  <c r="E100" i="3"/>
  <c r="F131" i="3"/>
  <c r="D122" i="3"/>
  <c r="D131" i="3"/>
  <c r="F100" i="3"/>
  <c r="F99" i="3"/>
  <c r="E131" i="3"/>
  <c r="D98" i="3"/>
  <c r="G131" i="3"/>
  <c r="D100" i="3"/>
  <c r="D99" i="3"/>
  <c r="G98" i="3"/>
  <c r="E19" i="3"/>
  <c r="F35" i="3"/>
  <c r="D19" i="3"/>
  <c r="D59" i="3" s="1"/>
  <c r="E35" i="3"/>
  <c r="C19" i="3"/>
  <c r="C98" i="3"/>
  <c r="E46" i="3"/>
  <c r="G19" i="3"/>
  <c r="G59" i="3" s="1"/>
  <c r="C46" i="3"/>
  <c r="D35" i="3"/>
  <c r="C35" i="3"/>
  <c r="C100" i="3"/>
  <c r="C99" i="3"/>
  <c r="D46" i="3"/>
  <c r="F19" i="3"/>
  <c r="G35" i="3"/>
  <c r="F46" i="3"/>
  <c r="G46" i="3"/>
  <c r="C5" i="12"/>
  <c r="C5" i="11"/>
  <c r="C5" i="10"/>
  <c r="C5" i="9"/>
  <c r="C5" i="8"/>
  <c r="C5" i="7"/>
  <c r="D47" i="3" l="1"/>
  <c r="D75" i="3" s="1"/>
  <c r="F59" i="3"/>
  <c r="G120" i="3"/>
  <c r="G135" i="3" s="1"/>
  <c r="E149" i="3"/>
  <c r="E148" i="3"/>
  <c r="F148" i="3"/>
  <c r="F149" i="3"/>
  <c r="G149" i="3"/>
  <c r="G148" i="3"/>
  <c r="E47" i="3"/>
  <c r="E91" i="3" s="1"/>
  <c r="G136" i="3"/>
  <c r="F64" i="3"/>
  <c r="F57" i="3"/>
  <c r="F63" i="3"/>
  <c r="F58" i="3"/>
  <c r="F55" i="3"/>
  <c r="F65" i="3"/>
  <c r="F61" i="3"/>
  <c r="F56" i="3"/>
  <c r="F66" i="3"/>
  <c r="F62" i="3"/>
  <c r="G129" i="3"/>
  <c r="D91" i="3"/>
  <c r="D93" i="3"/>
  <c r="E130" i="3"/>
  <c r="F130" i="3"/>
  <c r="E66" i="3"/>
  <c r="E64" i="3"/>
  <c r="E62" i="3"/>
  <c r="E57" i="3"/>
  <c r="E55" i="3"/>
  <c r="F136" i="3"/>
  <c r="E61" i="3"/>
  <c r="E56" i="3"/>
  <c r="E65" i="3"/>
  <c r="E63" i="3"/>
  <c r="E58" i="3"/>
  <c r="F129" i="3"/>
  <c r="D50" i="3"/>
  <c r="D94" i="3"/>
  <c r="D92" i="3"/>
  <c r="D90" i="3"/>
  <c r="D88" i="3"/>
  <c r="D86" i="3"/>
  <c r="D80" i="3"/>
  <c r="D73" i="3"/>
  <c r="D71" i="3"/>
  <c r="D89" i="3"/>
  <c r="D79" i="3"/>
  <c r="D70" i="3"/>
  <c r="D87" i="3"/>
  <c r="D81" i="3"/>
  <c r="D72" i="3"/>
  <c r="D85" i="3"/>
  <c r="D84" i="3"/>
  <c r="D74" i="3"/>
  <c r="G130" i="3"/>
  <c r="E80" i="3"/>
  <c r="E81" i="3"/>
  <c r="C66" i="3"/>
  <c r="C57" i="3"/>
  <c r="C58" i="3"/>
  <c r="C65" i="3"/>
  <c r="C56" i="3"/>
  <c r="C64" i="3"/>
  <c r="C55" i="3"/>
  <c r="D136" i="3"/>
  <c r="C63" i="3"/>
  <c r="C61" i="3"/>
  <c r="C62" i="3"/>
  <c r="D129" i="3"/>
  <c r="D82" i="3"/>
  <c r="G62" i="3"/>
  <c r="G65" i="3"/>
  <c r="G63" i="3"/>
  <c r="G61" i="3"/>
  <c r="G58" i="3"/>
  <c r="G56" i="3"/>
  <c r="G66" i="3"/>
  <c r="G64" i="3"/>
  <c r="G55" i="3"/>
  <c r="G57" i="3"/>
  <c r="C47" i="3"/>
  <c r="C93" i="3" s="1"/>
  <c r="D130" i="3"/>
  <c r="D66" i="3"/>
  <c r="D64" i="3"/>
  <c r="D62" i="3"/>
  <c r="D57" i="3"/>
  <c r="D55" i="3"/>
  <c r="D65" i="3"/>
  <c r="D58" i="3"/>
  <c r="E136" i="3"/>
  <c r="D61" i="3"/>
  <c r="D56" i="3"/>
  <c r="D63" i="3"/>
  <c r="E129" i="3"/>
  <c r="C59" i="3"/>
  <c r="E59" i="3"/>
  <c r="G47" i="3"/>
  <c r="G93" i="3" s="1"/>
  <c r="F47" i="3"/>
  <c r="D120" i="3"/>
  <c r="D135" i="3" s="1"/>
  <c r="E120" i="3"/>
  <c r="E135" i="3" s="1"/>
  <c r="F120" i="3"/>
  <c r="F135" i="3" s="1"/>
  <c r="G137" i="3" l="1"/>
  <c r="G161" i="3" s="1"/>
  <c r="C50" i="3"/>
  <c r="E89" i="3"/>
  <c r="E75" i="3"/>
  <c r="E92" i="3"/>
  <c r="E72" i="3"/>
  <c r="E84" i="3"/>
  <c r="E70" i="3"/>
  <c r="E86" i="3"/>
  <c r="E94" i="3"/>
  <c r="E74" i="3"/>
  <c r="E85" i="3"/>
  <c r="E71" i="3"/>
  <c r="E88" i="3"/>
  <c r="E50" i="3"/>
  <c r="E82" i="3"/>
  <c r="E79" i="3"/>
  <c r="E87" i="3"/>
  <c r="E73" i="3"/>
  <c r="E90" i="3"/>
  <c r="E93" i="3"/>
  <c r="G82" i="3"/>
  <c r="F50" i="3"/>
  <c r="F94" i="3"/>
  <c r="F80" i="3"/>
  <c r="F81" i="3"/>
  <c r="F72" i="3"/>
  <c r="F90" i="3"/>
  <c r="F73" i="3"/>
  <c r="F89" i="3"/>
  <c r="F87" i="3"/>
  <c r="F85" i="3"/>
  <c r="F84" i="3"/>
  <c r="F79" i="3"/>
  <c r="F74" i="3"/>
  <c r="F70" i="3"/>
  <c r="F86" i="3"/>
  <c r="F88" i="3"/>
  <c r="F71" i="3"/>
  <c r="F92" i="3"/>
  <c r="F91" i="3"/>
  <c r="F75" i="3"/>
  <c r="C88" i="3"/>
  <c r="C80" i="3"/>
  <c r="C90" i="3"/>
  <c r="C87" i="3"/>
  <c r="C79" i="3"/>
  <c r="C74" i="3"/>
  <c r="C84" i="3"/>
  <c r="C94" i="3"/>
  <c r="C86" i="3"/>
  <c r="C85" i="3"/>
  <c r="C73" i="3"/>
  <c r="C71" i="3"/>
  <c r="C89" i="3"/>
  <c r="C92" i="3"/>
  <c r="C70" i="3"/>
  <c r="C72" i="3"/>
  <c r="C81" i="3"/>
  <c r="C91" i="3"/>
  <c r="C75" i="3"/>
  <c r="G50" i="3"/>
  <c r="G94" i="3"/>
  <c r="G73" i="3"/>
  <c r="G71" i="3"/>
  <c r="G89" i="3"/>
  <c r="G87" i="3"/>
  <c r="G85" i="3"/>
  <c r="G84" i="3"/>
  <c r="G81" i="3"/>
  <c r="G79" i="3"/>
  <c r="G74" i="3"/>
  <c r="G72" i="3"/>
  <c r="G70" i="3"/>
  <c r="G92" i="3"/>
  <c r="G88" i="3"/>
  <c r="G80" i="3"/>
  <c r="G90" i="3"/>
  <c r="G86" i="3"/>
  <c r="G91" i="3"/>
  <c r="G75" i="3"/>
  <c r="F93" i="3"/>
  <c r="F82" i="3"/>
  <c r="C82" i="3"/>
  <c r="E137" i="3"/>
  <c r="E161" i="3" s="1"/>
  <c r="D137" i="3"/>
  <c r="D161" i="3" s="1"/>
  <c r="F137" i="3"/>
  <c r="F161" i="3" s="1"/>
  <c r="C30" i="4" l="1"/>
  <c r="C50" i="4" s="1"/>
  <c r="D5" i="4"/>
  <c r="D5" i="3" l="1"/>
  <c r="D52" i="3" s="1"/>
  <c r="D67" i="4"/>
  <c r="D75" i="4" s="1"/>
  <c r="D30" i="4"/>
  <c r="D50" i="4" s="1"/>
  <c r="E5" i="4"/>
  <c r="D5" i="10" l="1"/>
  <c r="D5" i="12"/>
  <c r="D5" i="7"/>
  <c r="D5" i="9"/>
  <c r="D5" i="8"/>
  <c r="D5" i="6"/>
  <c r="D5" i="11"/>
  <c r="D5" i="13"/>
  <c r="E5" i="3"/>
  <c r="E52" i="3" s="1"/>
  <c r="E67" i="4"/>
  <c r="E75" i="4" s="1"/>
  <c r="F5" i="4"/>
  <c r="E30" i="4"/>
  <c r="E50" i="4" s="1"/>
  <c r="E5" i="11" l="1"/>
  <c r="E5" i="8"/>
  <c r="E5" i="12"/>
  <c r="E5" i="7"/>
  <c r="E5" i="9"/>
  <c r="E5" i="6"/>
  <c r="E5" i="10"/>
  <c r="E5" i="13"/>
  <c r="F5" i="3"/>
  <c r="F52" i="3" s="1"/>
  <c r="F67" i="4"/>
  <c r="F75" i="4" s="1"/>
  <c r="G5" i="4"/>
  <c r="F30" i="4"/>
  <c r="F50" i="4" s="1"/>
  <c r="G67" i="4" l="1"/>
  <c r="G75" i="4" s="1"/>
  <c r="F5" i="13"/>
  <c r="F5" i="7"/>
  <c r="F5" i="11"/>
  <c r="F5" i="12"/>
  <c r="F5" i="6"/>
  <c r="F5" i="9"/>
  <c r="F5" i="8"/>
  <c r="F16" i="8" s="1"/>
  <c r="F5" i="10"/>
  <c r="H5" i="4"/>
  <c r="G5" i="3"/>
  <c r="G52" i="3" s="1"/>
  <c r="G30" i="4"/>
  <c r="G50" i="4" s="1"/>
  <c r="H67" i="4" l="1"/>
  <c r="H75" i="4" s="1"/>
  <c r="G5" i="6"/>
  <c r="G5" i="9"/>
  <c r="G5" i="11"/>
  <c r="G5" i="10"/>
  <c r="G5" i="7"/>
  <c r="G5" i="12"/>
  <c r="G5" i="13"/>
  <c r="G5" i="8"/>
  <c r="G16" i="8" s="1"/>
  <c r="I5" i="4"/>
  <c r="H5" i="3"/>
  <c r="H52" i="3" s="1"/>
  <c r="H30" i="4"/>
  <c r="H50" i="4" s="1"/>
  <c r="I67" i="4" l="1"/>
  <c r="I75" i="4" s="1"/>
  <c r="H5" i="6"/>
  <c r="H5" i="9"/>
  <c r="H5" i="7"/>
  <c r="H5" i="10"/>
  <c r="H5" i="11"/>
  <c r="H5" i="12"/>
  <c r="H5" i="13"/>
  <c r="H5" i="8"/>
  <c r="J5" i="4"/>
  <c r="I5" i="3"/>
  <c r="I52" i="3" s="1"/>
  <c r="I30" i="4"/>
  <c r="I50" i="4" s="1"/>
  <c r="J67" i="4" l="1"/>
  <c r="J75" i="4" s="1"/>
  <c r="I5" i="6"/>
  <c r="I5" i="10"/>
  <c r="I5" i="7"/>
  <c r="I5" i="11"/>
  <c r="I5" i="8"/>
  <c r="I5" i="9"/>
  <c r="I5" i="13"/>
  <c r="I5" i="12"/>
  <c r="K5" i="4"/>
  <c r="J5" i="3"/>
  <c r="J52" i="3" s="1"/>
  <c r="J30" i="4"/>
  <c r="J50" i="4" s="1"/>
  <c r="K67" i="4" l="1"/>
  <c r="K75" i="4" s="1"/>
  <c r="L5" i="4"/>
  <c r="K30" i="4"/>
  <c r="K50" i="4" s="1"/>
  <c r="K5" i="3"/>
  <c r="K52" i="3" s="1"/>
  <c r="J5" i="6"/>
  <c r="J5" i="13"/>
  <c r="J5" i="10"/>
  <c r="J5" i="12"/>
  <c r="J5" i="7"/>
  <c r="J5" i="9"/>
  <c r="J5" i="8"/>
  <c r="J5" i="11"/>
  <c r="L67" i="4" l="1"/>
  <c r="L75" i="4" s="1"/>
  <c r="K5" i="6"/>
  <c r="K5" i="13"/>
  <c r="K5" i="11"/>
  <c r="K5" i="12"/>
  <c r="K5" i="8"/>
  <c r="K5" i="7"/>
  <c r="K5" i="10"/>
  <c r="K5" i="9"/>
  <c r="L5" i="3"/>
  <c r="L52" i="3" s="1"/>
  <c r="L30" i="4"/>
  <c r="L50" i="4" s="1"/>
  <c r="L5" i="6" l="1"/>
  <c r="L5" i="13"/>
  <c r="L5" i="12"/>
  <c r="L5" i="8"/>
  <c r="L5" i="9"/>
  <c r="L5" i="11"/>
  <c r="L5" i="10"/>
  <c r="L5" i="7"/>
  <c r="H10" i="7" l="1"/>
  <c r="H36" i="7" l="1"/>
  <c r="H13" i="7"/>
  <c r="H20" i="7" s="1"/>
  <c r="I10" i="7"/>
  <c r="J10" i="7" l="1"/>
  <c r="I13" i="7"/>
  <c r="I20" i="7" s="1"/>
  <c r="J36" i="7"/>
  <c r="I22" i="7"/>
  <c r="H22" i="7"/>
  <c r="I36" i="7"/>
  <c r="K10" i="7" l="1"/>
  <c r="K36" i="7"/>
  <c r="J13" i="7"/>
  <c r="J20" i="7" s="1"/>
  <c r="L10" i="7" l="1"/>
  <c r="L13" i="7" s="1"/>
  <c r="L20" i="7" s="1"/>
  <c r="K13" i="7"/>
  <c r="K20" i="7" s="1"/>
  <c r="J22" i="7"/>
  <c r="L22" i="7" l="1"/>
  <c r="L36" i="7"/>
  <c r="K22" i="7"/>
  <c r="H8" i="3" l="1"/>
  <c r="I8" i="3"/>
  <c r="J8" i="3"/>
  <c r="K8" i="3"/>
  <c r="L8" i="3"/>
  <c r="H12" i="3"/>
  <c r="I12" i="3"/>
  <c r="J12" i="3"/>
  <c r="K12" i="3"/>
  <c r="L12" i="3"/>
  <c r="H19" i="3"/>
  <c r="I19" i="3"/>
  <c r="J19" i="3"/>
  <c r="K19" i="3"/>
  <c r="L19" i="3"/>
  <c r="H30" i="3"/>
  <c r="I30" i="3"/>
  <c r="J30" i="3"/>
  <c r="K30" i="3"/>
  <c r="L30" i="3"/>
  <c r="H35" i="3"/>
  <c r="I35" i="3"/>
  <c r="J35" i="3"/>
  <c r="K35" i="3"/>
  <c r="L35" i="3"/>
  <c r="H44" i="3"/>
  <c r="I44" i="3"/>
  <c r="J44" i="3"/>
  <c r="K44" i="3"/>
  <c r="L44" i="3"/>
  <c r="H45" i="3"/>
  <c r="I45" i="3"/>
  <c r="J45" i="3"/>
  <c r="K45" i="3"/>
  <c r="L45" i="3"/>
  <c r="H46" i="3"/>
  <c r="I46" i="3"/>
  <c r="J46" i="3"/>
  <c r="K46" i="3"/>
  <c r="L46" i="3"/>
  <c r="H47" i="3"/>
  <c r="I47" i="3"/>
  <c r="J47" i="3"/>
  <c r="K47" i="3"/>
  <c r="L47" i="3"/>
  <c r="H50" i="3"/>
  <c r="I50" i="3"/>
  <c r="J50" i="3"/>
  <c r="K50" i="3"/>
  <c r="L50" i="3"/>
  <c r="H55" i="3"/>
  <c r="I55" i="3"/>
  <c r="J55" i="3"/>
  <c r="K55" i="3"/>
  <c r="L55" i="3"/>
  <c r="H56" i="3"/>
  <c r="I56" i="3"/>
  <c r="J56" i="3"/>
  <c r="K56" i="3"/>
  <c r="L56" i="3"/>
  <c r="H57" i="3"/>
  <c r="I57" i="3"/>
  <c r="J57" i="3"/>
  <c r="K57" i="3"/>
  <c r="L57" i="3"/>
  <c r="H58" i="3"/>
  <c r="I58" i="3"/>
  <c r="J58" i="3"/>
  <c r="K58" i="3"/>
  <c r="L58" i="3"/>
  <c r="H59" i="3"/>
  <c r="I59" i="3"/>
  <c r="J59" i="3"/>
  <c r="K59" i="3"/>
  <c r="L59" i="3"/>
  <c r="H61" i="3"/>
  <c r="I61" i="3"/>
  <c r="J61" i="3"/>
  <c r="K61" i="3"/>
  <c r="L61" i="3"/>
  <c r="H62" i="3"/>
  <c r="I62" i="3"/>
  <c r="J62" i="3"/>
  <c r="K62" i="3"/>
  <c r="L62" i="3"/>
  <c r="H63" i="3"/>
  <c r="I63" i="3"/>
  <c r="J63" i="3"/>
  <c r="K63" i="3"/>
  <c r="L63" i="3"/>
  <c r="H64" i="3"/>
  <c r="I64" i="3"/>
  <c r="J64" i="3"/>
  <c r="K64" i="3"/>
  <c r="L64" i="3"/>
  <c r="H65" i="3"/>
  <c r="I65" i="3"/>
  <c r="J65" i="3"/>
  <c r="K65" i="3"/>
  <c r="L65" i="3"/>
  <c r="H66" i="3"/>
  <c r="I66" i="3"/>
  <c r="J66" i="3"/>
  <c r="K66" i="3"/>
  <c r="L66" i="3"/>
  <c r="H70" i="3"/>
  <c r="I70" i="3"/>
  <c r="J70" i="3"/>
  <c r="K70" i="3"/>
  <c r="L70" i="3"/>
  <c r="H71" i="3"/>
  <c r="I71" i="3"/>
  <c r="J71" i="3"/>
  <c r="K71" i="3"/>
  <c r="L71" i="3"/>
  <c r="H72" i="3"/>
  <c r="I72" i="3"/>
  <c r="J72" i="3"/>
  <c r="K72" i="3"/>
  <c r="L72" i="3"/>
  <c r="H73" i="3"/>
  <c r="I73" i="3"/>
  <c r="J73" i="3"/>
  <c r="K73" i="3"/>
  <c r="L73" i="3"/>
  <c r="H74" i="3"/>
  <c r="I74" i="3"/>
  <c r="J74" i="3"/>
  <c r="K74" i="3"/>
  <c r="L74" i="3"/>
  <c r="H75" i="3"/>
  <c r="I75" i="3"/>
  <c r="J75" i="3"/>
  <c r="K75" i="3"/>
  <c r="L75" i="3"/>
  <c r="H79" i="3"/>
  <c r="I79" i="3"/>
  <c r="J79" i="3"/>
  <c r="K79" i="3"/>
  <c r="L79" i="3"/>
  <c r="H80" i="3"/>
  <c r="I80" i="3"/>
  <c r="J80" i="3"/>
  <c r="K80" i="3"/>
  <c r="L80" i="3"/>
  <c r="H81" i="3"/>
  <c r="I81" i="3"/>
  <c r="J81" i="3"/>
  <c r="K81" i="3"/>
  <c r="L81" i="3"/>
  <c r="H82" i="3"/>
  <c r="I82" i="3"/>
  <c r="J82" i="3"/>
  <c r="K82" i="3"/>
  <c r="L82" i="3"/>
  <c r="H84" i="3"/>
  <c r="I84" i="3"/>
  <c r="J84" i="3"/>
  <c r="K84" i="3"/>
  <c r="L84" i="3"/>
  <c r="H85" i="3"/>
  <c r="I85" i="3"/>
  <c r="J85" i="3"/>
  <c r="K85" i="3"/>
  <c r="L85" i="3"/>
  <c r="H86" i="3"/>
  <c r="I86" i="3"/>
  <c r="J86" i="3"/>
  <c r="K86" i="3"/>
  <c r="L86" i="3"/>
  <c r="H87" i="3"/>
  <c r="I87" i="3"/>
  <c r="J87" i="3"/>
  <c r="K87" i="3"/>
  <c r="L87" i="3"/>
  <c r="H88" i="3"/>
  <c r="I88" i="3"/>
  <c r="J88" i="3"/>
  <c r="K88" i="3"/>
  <c r="L88" i="3"/>
  <c r="H89" i="3"/>
  <c r="I89" i="3"/>
  <c r="J89" i="3"/>
  <c r="K89" i="3"/>
  <c r="L89" i="3"/>
  <c r="H90" i="3"/>
  <c r="I90" i="3"/>
  <c r="J90" i="3"/>
  <c r="K90" i="3"/>
  <c r="L90" i="3"/>
  <c r="H91" i="3"/>
  <c r="I91" i="3"/>
  <c r="J91" i="3"/>
  <c r="K91" i="3"/>
  <c r="L91" i="3"/>
  <c r="H92" i="3"/>
  <c r="I92" i="3"/>
  <c r="J92" i="3"/>
  <c r="K92" i="3"/>
  <c r="L92" i="3"/>
  <c r="H93" i="3"/>
  <c r="I93" i="3"/>
  <c r="J93" i="3"/>
  <c r="K93" i="3"/>
  <c r="L93" i="3"/>
  <c r="H94" i="3"/>
  <c r="I94" i="3"/>
  <c r="J94" i="3"/>
  <c r="K94" i="3"/>
  <c r="L94" i="3"/>
  <c r="H98" i="3"/>
  <c r="I98" i="3"/>
  <c r="J98" i="3"/>
  <c r="K98" i="3"/>
  <c r="L98" i="3"/>
  <c r="H99" i="3"/>
  <c r="I99" i="3"/>
  <c r="J99" i="3"/>
  <c r="K99" i="3"/>
  <c r="L99" i="3"/>
  <c r="H100" i="3"/>
  <c r="I100" i="3"/>
  <c r="J100" i="3"/>
  <c r="K100" i="3"/>
  <c r="L100" i="3"/>
  <c r="H120" i="3"/>
  <c r="I120" i="3"/>
  <c r="J120" i="3"/>
  <c r="K120" i="3"/>
  <c r="L120" i="3"/>
  <c r="H122" i="3"/>
  <c r="I122" i="3"/>
  <c r="J122" i="3"/>
  <c r="K122" i="3"/>
  <c r="L122" i="3"/>
  <c r="H127" i="3"/>
  <c r="I127" i="3"/>
  <c r="J127" i="3"/>
  <c r="K127" i="3"/>
  <c r="L127" i="3"/>
  <c r="H129" i="3"/>
  <c r="I129" i="3"/>
  <c r="J129" i="3"/>
  <c r="K129" i="3"/>
  <c r="L129" i="3"/>
  <c r="H130" i="3"/>
  <c r="I130" i="3"/>
  <c r="J130" i="3"/>
  <c r="K130" i="3"/>
  <c r="L130" i="3"/>
  <c r="H131" i="3"/>
  <c r="I131" i="3"/>
  <c r="J131" i="3"/>
  <c r="K131" i="3"/>
  <c r="L131" i="3"/>
  <c r="H134" i="3"/>
  <c r="I134" i="3"/>
  <c r="J134" i="3"/>
  <c r="K134" i="3"/>
  <c r="L134" i="3"/>
  <c r="H135" i="3"/>
  <c r="I135" i="3"/>
  <c r="J135" i="3"/>
  <c r="K135" i="3"/>
  <c r="L135" i="3"/>
  <c r="H136" i="3"/>
  <c r="I136" i="3"/>
  <c r="J136" i="3"/>
  <c r="K136" i="3"/>
  <c r="L136" i="3"/>
  <c r="H137" i="3"/>
  <c r="I137" i="3"/>
  <c r="J137" i="3"/>
  <c r="K137" i="3"/>
  <c r="L137" i="3"/>
  <c r="H141" i="3"/>
  <c r="I141" i="3"/>
  <c r="J141" i="3"/>
  <c r="K141" i="3"/>
  <c r="L141" i="3"/>
  <c r="H148" i="3"/>
  <c r="I148" i="3"/>
  <c r="J148" i="3"/>
  <c r="K148" i="3"/>
  <c r="L148" i="3"/>
  <c r="H149" i="3"/>
  <c r="I149" i="3"/>
  <c r="J149" i="3"/>
  <c r="K149" i="3"/>
  <c r="L149" i="3"/>
  <c r="H150" i="3"/>
  <c r="I150" i="3"/>
  <c r="J150" i="3"/>
  <c r="K150" i="3"/>
  <c r="L150" i="3"/>
  <c r="H156" i="3"/>
  <c r="I156" i="3"/>
  <c r="J156" i="3"/>
  <c r="K156" i="3"/>
  <c r="L156" i="3"/>
  <c r="H157" i="3"/>
  <c r="I157" i="3"/>
  <c r="J157" i="3"/>
  <c r="K157" i="3"/>
  <c r="L157" i="3"/>
  <c r="H158" i="3"/>
  <c r="I158" i="3"/>
  <c r="J158" i="3"/>
  <c r="K158" i="3"/>
  <c r="L158" i="3"/>
  <c r="H159" i="3"/>
  <c r="I159" i="3"/>
  <c r="J159" i="3"/>
  <c r="K159" i="3"/>
  <c r="L159" i="3"/>
  <c r="H161" i="3"/>
  <c r="I161" i="3"/>
  <c r="J161" i="3"/>
  <c r="K161" i="3"/>
  <c r="L161" i="3"/>
  <c r="H7" i="6"/>
  <c r="I7" i="6"/>
  <c r="J7" i="6"/>
  <c r="K7" i="6"/>
  <c r="L7" i="6"/>
  <c r="H22" i="6"/>
  <c r="I22" i="6"/>
  <c r="J22" i="6"/>
  <c r="K22" i="6"/>
  <c r="L22" i="6"/>
  <c r="H32" i="6"/>
  <c r="I32" i="6"/>
  <c r="J32" i="6"/>
  <c r="K32" i="6"/>
  <c r="L32" i="6"/>
  <c r="H35" i="6"/>
  <c r="I35" i="6"/>
  <c r="J35" i="6"/>
  <c r="L35" i="6"/>
  <c r="H39" i="6"/>
  <c r="I39" i="6"/>
  <c r="J39" i="6"/>
  <c r="K39" i="6"/>
  <c r="L39" i="6"/>
  <c r="H40" i="6"/>
  <c r="I40" i="6"/>
  <c r="J40" i="6"/>
  <c r="K40" i="6"/>
  <c r="L40" i="6"/>
  <c r="H43" i="6"/>
  <c r="I43" i="6"/>
  <c r="J43" i="6"/>
  <c r="K43" i="6"/>
  <c r="L43" i="6"/>
  <c r="H46" i="6"/>
  <c r="I46" i="6"/>
  <c r="J46" i="6"/>
  <c r="K46" i="6"/>
  <c r="L46" i="6"/>
  <c r="I48" i="6"/>
  <c r="J48" i="6"/>
  <c r="K48" i="6"/>
  <c r="L48" i="6"/>
  <c r="H49" i="6"/>
  <c r="I49" i="6"/>
  <c r="J49" i="6"/>
  <c r="K49" i="6"/>
  <c r="L49" i="6"/>
  <c r="H6" i="12"/>
  <c r="I6" i="12"/>
  <c r="J6" i="12"/>
  <c r="K6" i="12"/>
  <c r="L6" i="12"/>
  <c r="H7" i="12"/>
  <c r="I7" i="12"/>
  <c r="J7" i="12"/>
  <c r="K7" i="12"/>
  <c r="L7" i="12"/>
  <c r="H8" i="12"/>
  <c r="I8" i="12"/>
  <c r="J8" i="12"/>
  <c r="K8" i="12"/>
  <c r="L8" i="12"/>
  <c r="H12" i="12"/>
  <c r="I12" i="12"/>
  <c r="J12" i="12"/>
  <c r="K12" i="12"/>
  <c r="L12" i="12"/>
  <c r="H15" i="12"/>
  <c r="I15" i="12"/>
  <c r="J15" i="12"/>
  <c r="K15" i="12"/>
  <c r="L15" i="12"/>
  <c r="I18" i="12"/>
  <c r="J18" i="12"/>
  <c r="K18" i="12"/>
  <c r="L18" i="12"/>
  <c r="H19" i="12"/>
  <c r="I19" i="12"/>
  <c r="J19" i="12"/>
  <c r="L19" i="12"/>
  <c r="H20" i="12"/>
  <c r="I20" i="12"/>
  <c r="J20" i="12"/>
  <c r="K20" i="12"/>
  <c r="L20" i="12"/>
  <c r="H33" i="12"/>
  <c r="I33" i="12"/>
  <c r="J33" i="12"/>
  <c r="K33" i="12"/>
  <c r="L33" i="12"/>
  <c r="H35" i="12"/>
  <c r="I35" i="12"/>
  <c r="J35" i="12"/>
  <c r="K35" i="12"/>
  <c r="L35" i="12"/>
  <c r="H42" i="12"/>
  <c r="I42" i="12"/>
  <c r="J42" i="12"/>
  <c r="K42" i="12"/>
  <c r="L42" i="12"/>
  <c r="H45" i="12"/>
  <c r="I45" i="12"/>
  <c r="J45" i="12"/>
  <c r="K45" i="12"/>
  <c r="L45" i="12"/>
  <c r="H47" i="12"/>
  <c r="I47" i="12"/>
  <c r="J47" i="12"/>
  <c r="K47" i="12"/>
  <c r="L47" i="12"/>
  <c r="H14" i="4"/>
  <c r="I14" i="4"/>
  <c r="J14" i="4"/>
  <c r="K14" i="4"/>
  <c r="L14" i="4"/>
  <c r="H16" i="4"/>
  <c r="I16" i="4"/>
  <c r="J16" i="4"/>
  <c r="K16" i="4"/>
  <c r="L16" i="4"/>
  <c r="H17" i="4"/>
  <c r="I17" i="4"/>
  <c r="J17" i="4"/>
  <c r="K17" i="4"/>
  <c r="L17" i="4"/>
  <c r="H18" i="4"/>
  <c r="I18" i="4"/>
  <c r="J18" i="4"/>
  <c r="K18" i="4"/>
  <c r="L18" i="4"/>
  <c r="H19" i="4"/>
  <c r="I19" i="4"/>
  <c r="J19" i="4"/>
  <c r="K19" i="4"/>
  <c r="L19" i="4"/>
  <c r="H20" i="4"/>
  <c r="I20" i="4"/>
  <c r="J20" i="4"/>
  <c r="K20" i="4"/>
  <c r="L20" i="4"/>
  <c r="H21" i="4"/>
  <c r="I21" i="4"/>
  <c r="J21" i="4"/>
  <c r="K21" i="4"/>
  <c r="L21" i="4"/>
  <c r="H22" i="4"/>
  <c r="I22" i="4"/>
  <c r="J22" i="4"/>
  <c r="K22" i="4"/>
  <c r="L22" i="4"/>
  <c r="H41" i="4"/>
  <c r="I41" i="4"/>
  <c r="J41" i="4"/>
  <c r="K41" i="4"/>
  <c r="L41" i="4"/>
  <c r="H42" i="4"/>
  <c r="I42" i="4"/>
  <c r="J42" i="4"/>
  <c r="K42" i="4"/>
  <c r="L42" i="4"/>
  <c r="H43" i="4"/>
  <c r="I43" i="4"/>
  <c r="J43" i="4"/>
  <c r="K43" i="4"/>
  <c r="L43" i="4"/>
  <c r="H58" i="4"/>
  <c r="I58" i="4"/>
  <c r="J58" i="4"/>
  <c r="K58" i="4"/>
  <c r="L58" i="4"/>
  <c r="H60" i="4"/>
  <c r="I60" i="4"/>
  <c r="J60" i="4"/>
  <c r="K60" i="4"/>
  <c r="L60" i="4"/>
  <c r="H61" i="4"/>
  <c r="I61" i="4"/>
  <c r="J61" i="4"/>
  <c r="K61" i="4"/>
  <c r="L61" i="4"/>
  <c r="H62" i="4"/>
  <c r="I62" i="4"/>
  <c r="J62" i="4"/>
  <c r="K62" i="4"/>
  <c r="L62" i="4"/>
  <c r="H63" i="4"/>
  <c r="I63" i="4"/>
  <c r="J63" i="4"/>
  <c r="K63" i="4"/>
  <c r="L63" i="4"/>
  <c r="H64" i="4"/>
  <c r="I64" i="4"/>
  <c r="J64" i="4"/>
  <c r="K64" i="4"/>
  <c r="L64" i="4"/>
  <c r="H69" i="4"/>
  <c r="I69" i="4"/>
  <c r="J69" i="4"/>
  <c r="K69" i="4"/>
  <c r="L69" i="4"/>
  <c r="H72" i="4"/>
  <c r="I72" i="4"/>
  <c r="J72" i="4"/>
  <c r="K72" i="4"/>
  <c r="L72" i="4"/>
  <c r="H78" i="4"/>
  <c r="I78" i="4"/>
  <c r="J78" i="4"/>
  <c r="K78" i="4"/>
  <c r="L78" i="4"/>
  <c r="H80" i="4"/>
  <c r="I80" i="4"/>
  <c r="J80" i="4"/>
  <c r="K80" i="4"/>
  <c r="L80" i="4"/>
  <c r="H82" i="4"/>
  <c r="I82" i="4"/>
  <c r="J82" i="4"/>
  <c r="K82" i="4"/>
  <c r="L82" i="4"/>
  <c r="I6" i="10"/>
  <c r="J6" i="10"/>
  <c r="K6" i="10"/>
  <c r="L6" i="10"/>
  <c r="H7" i="10"/>
  <c r="I7" i="10"/>
  <c r="J7" i="10"/>
  <c r="K7" i="10"/>
  <c r="L7" i="10"/>
  <c r="H8" i="10"/>
  <c r="I8" i="10"/>
  <c r="J8" i="10"/>
  <c r="K8" i="10"/>
  <c r="L8" i="10"/>
  <c r="H9" i="10"/>
  <c r="I9" i="10"/>
  <c r="J9" i="10"/>
  <c r="K9" i="10"/>
  <c r="L9" i="10"/>
  <c r="H11" i="10"/>
  <c r="I11" i="10"/>
  <c r="J11" i="10"/>
  <c r="K11" i="10"/>
  <c r="L11" i="10"/>
  <c r="H14" i="10"/>
  <c r="I14" i="10"/>
  <c r="J14" i="10"/>
  <c r="K14" i="10"/>
  <c r="L14" i="10"/>
  <c r="H16" i="10"/>
  <c r="I16" i="10"/>
  <c r="J16" i="10"/>
  <c r="K16" i="10"/>
  <c r="L16" i="10"/>
  <c r="H18" i="10"/>
  <c r="I18" i="10"/>
  <c r="J18" i="10"/>
  <c r="K18" i="10"/>
  <c r="L18" i="10"/>
  <c r="H30" i="10"/>
  <c r="I30" i="10"/>
  <c r="J30" i="10"/>
  <c r="K30" i="10"/>
  <c r="L30" i="10"/>
  <c r="H31" i="10"/>
  <c r="I31" i="10"/>
  <c r="J31" i="10"/>
  <c r="K31" i="10"/>
  <c r="L3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<sst xmlns="http://schemas.openxmlformats.org/spreadsheetml/2006/main" count="432" uniqueCount="302">
  <si>
    <t>Colgate-Palmolive Company</t>
  </si>
  <si>
    <t>Net sales</t>
  </si>
  <si>
    <t>Cost of sales</t>
  </si>
  <si>
    <t xml:space="preserve">  Gross profit</t>
  </si>
  <si>
    <t>Selling, general and administrative expenses</t>
  </si>
  <si>
    <t>Other (income) expense, net</t>
  </si>
  <si>
    <t xml:space="preserve">  Operating profit</t>
  </si>
  <si>
    <t xml:space="preserve">Interest expense, net </t>
  </si>
  <si>
    <t>Income before income taxes</t>
  </si>
  <si>
    <t>Provision for income taxes</t>
  </si>
  <si>
    <t xml:space="preserve">  Net income including noncontrolling interests</t>
  </si>
  <si>
    <t>Less: Net income attributable to noncontrolling interests</t>
  </si>
  <si>
    <t xml:space="preserve">  Net income attributable to Colgate-Palmolive Company</t>
  </si>
  <si>
    <t>Earnings per common share, basic</t>
  </si>
  <si>
    <t>Earnings per common share, diluted</t>
  </si>
  <si>
    <t xml:space="preserve"> </t>
  </si>
  <si>
    <t>Income Statement (Consolidated)</t>
  </si>
  <si>
    <t>($ in Million Except Per Share Amounts)</t>
  </si>
  <si>
    <t>Vertical Analysis</t>
  </si>
  <si>
    <t>Horizontal Analysis</t>
  </si>
  <si>
    <t>Consolidated Balance Sheets</t>
  </si>
  <si>
    <t>Assets</t>
  </si>
  <si>
    <t>Current Assets</t>
  </si>
  <si>
    <t xml:space="preserve">  Cash and cash equivalents</t>
  </si>
  <si>
    <t xml:space="preserve">  Inventories</t>
  </si>
  <si>
    <t xml:space="preserve">  Other current assets</t>
  </si>
  <si>
    <t xml:space="preserve">    Total current assets</t>
  </si>
  <si>
    <t>Property, plant and equipment, net</t>
  </si>
  <si>
    <t>Goodwill, net</t>
  </si>
  <si>
    <t>Other intangible assets, net</t>
  </si>
  <si>
    <t>Deferred income taxes</t>
  </si>
  <si>
    <t>Other assets</t>
  </si>
  <si>
    <t>Total assets</t>
  </si>
  <si>
    <t>Liabilities and Shareholders' Equity</t>
  </si>
  <si>
    <t>Current Liabilities</t>
  </si>
  <si>
    <t xml:space="preserve">  Notes and loans payable </t>
  </si>
  <si>
    <t xml:space="preserve">  Current portion of long-term debt</t>
  </si>
  <si>
    <t xml:space="preserve">  Accounts payable</t>
  </si>
  <si>
    <t xml:space="preserve">  Accrued income taxes</t>
  </si>
  <si>
    <t xml:space="preserve">  Other accruals</t>
  </si>
  <si>
    <t xml:space="preserve">    Total current liabilities</t>
  </si>
  <si>
    <t>Long-term debt</t>
  </si>
  <si>
    <t>Other liabilities</t>
  </si>
  <si>
    <t>Total liabilities</t>
  </si>
  <si>
    <t>Commitments and contingent liabilities</t>
  </si>
  <si>
    <t>Shareholders' Equity</t>
  </si>
  <si>
    <t xml:space="preserve">  Common stock</t>
  </si>
  <si>
    <t xml:space="preserve">  Additional paid-in capital</t>
  </si>
  <si>
    <t xml:space="preserve">  Retained earnings</t>
  </si>
  <si>
    <t xml:space="preserve">  Accumulated other comprehensive income (loss)</t>
  </si>
  <si>
    <t xml:space="preserve">  Unearned compensation</t>
  </si>
  <si>
    <t xml:space="preserve">  Treasury stock, at cost</t>
  </si>
  <si>
    <t>Total Colgate-Palmolive Company shareholders' equity</t>
  </si>
  <si>
    <t xml:space="preserve">  Noncontrolling interests</t>
  </si>
  <si>
    <t xml:space="preserve">  Total shareholders' equity</t>
  </si>
  <si>
    <t>Total liabilities and shareholders' equity</t>
  </si>
  <si>
    <t>-</t>
  </si>
  <si>
    <t>Operating Activities</t>
  </si>
  <si>
    <t>Net income including noncontrolling interests</t>
  </si>
  <si>
    <t>to net cash provided by operations:</t>
  </si>
  <si>
    <t>Depreciation and amortization</t>
  </si>
  <si>
    <t>Restructuring and termination benefits, net of cash</t>
  </si>
  <si>
    <t>Voluntary benefit plan contributions</t>
  </si>
  <si>
    <t>Stock-based compensation expense</t>
  </si>
  <si>
    <t xml:space="preserve">Cash effects of changes in: </t>
  </si>
  <si>
    <t>Receivables</t>
  </si>
  <si>
    <t>Inventories</t>
  </si>
  <si>
    <t>Other non-current assets and liabilities</t>
  </si>
  <si>
    <t>Net cash provided by operations</t>
  </si>
  <si>
    <t>Investing Activities</t>
  </si>
  <si>
    <t xml:space="preserve">  </t>
  </si>
  <si>
    <t>Capital expenditures</t>
  </si>
  <si>
    <t>Purchases of marketable securities and investments</t>
  </si>
  <si>
    <t>Proceeds from sale of marketable securities and investments</t>
  </si>
  <si>
    <t>Payment for acquisitions, net of cash acquired</t>
  </si>
  <si>
    <t>Other</t>
  </si>
  <si>
    <t>Net cash used in investing activities</t>
  </si>
  <si>
    <t>Financing Activities</t>
  </si>
  <si>
    <t>Principal payments on debt</t>
  </si>
  <si>
    <t>Proceeds from issuance of debt</t>
  </si>
  <si>
    <t>Dividends paid</t>
  </si>
  <si>
    <t>Purchases of treasury shares</t>
  </si>
  <si>
    <t>Proceeds from exercise of stock options and excess tax benefits</t>
  </si>
  <si>
    <t>Net cash used in financing activities</t>
  </si>
  <si>
    <t>Effect of exchange rate changes on Cash and cash equivalents</t>
  </si>
  <si>
    <t>Net increase (decrease) in Cash and cash equivalents</t>
  </si>
  <si>
    <t>Cash and cash equivalents at beginning of year</t>
  </si>
  <si>
    <t>Cash and cash equivalents at end of year</t>
  </si>
  <si>
    <t>Supplemental Cash Flow Information</t>
  </si>
  <si>
    <t>Income taxes paid</t>
  </si>
  <si>
    <t>Interest paid</t>
  </si>
  <si>
    <t>Consolidated Cash Flows</t>
  </si>
  <si>
    <t>Net Sales</t>
  </si>
  <si>
    <t>Number of days assumption</t>
  </si>
  <si>
    <t>Working Capital Balances</t>
  </si>
  <si>
    <t>Total Non Cash Current Assets</t>
  </si>
  <si>
    <t>Total Non-Debt Current Liabilities</t>
  </si>
  <si>
    <t>Net Working Capital/ (Deficit)</t>
  </si>
  <si>
    <t>(Increase)/ Decrease in Working Capital</t>
  </si>
  <si>
    <t>Ratios &amp; Assumptions</t>
  </si>
  <si>
    <t>Accounts Receivable, net (Collection period in days)</t>
  </si>
  <si>
    <t>Inventory (Days outstanding)</t>
  </si>
  <si>
    <t>Other Current Assets (% of Net Sales)</t>
  </si>
  <si>
    <t>Accounts Payable (Days Payable)</t>
  </si>
  <si>
    <t>Cash Flow from Individual line items</t>
  </si>
  <si>
    <t>(Incease)/ Decrease in Working Capital</t>
  </si>
  <si>
    <t>Check</t>
  </si>
  <si>
    <t>Capital Expenditures</t>
  </si>
  <si>
    <t>Capital Expenditures as % of Net Sales</t>
  </si>
  <si>
    <t>Beginning Net PP&amp;E</t>
  </si>
  <si>
    <t>(Depreciation Expense)</t>
  </si>
  <si>
    <t>Ending Net PP&amp;E</t>
  </si>
  <si>
    <t>Remaining useful life</t>
  </si>
  <si>
    <t>Proportion of Assets</t>
  </si>
  <si>
    <t xml:space="preserve">Land </t>
  </si>
  <si>
    <t>NA</t>
  </si>
  <si>
    <t>Building Improvements</t>
  </si>
  <si>
    <t>Machinery and equipment</t>
  </si>
  <si>
    <t>Total</t>
  </si>
  <si>
    <t>Total Capex</t>
  </si>
  <si>
    <t>Breakup</t>
  </si>
  <si>
    <t>Building Improvements - Straight Line Method</t>
  </si>
  <si>
    <t>Useful Life</t>
  </si>
  <si>
    <t>Years</t>
  </si>
  <si>
    <t>Building Improvement</t>
  </si>
  <si>
    <t>Depreciation Expense (existing)</t>
  </si>
  <si>
    <t>Capex</t>
  </si>
  <si>
    <t>Depreciation (Building Improvements)</t>
  </si>
  <si>
    <t>Machinery &amp; Equipments</t>
  </si>
  <si>
    <t>Total Depreciation (Machinery &amp; Equipments)</t>
  </si>
  <si>
    <t>Total Depreciation Expense</t>
  </si>
  <si>
    <t>Additions to Intangibles</t>
  </si>
  <si>
    <t>Additions to Intangibles as % of Net Sales</t>
  </si>
  <si>
    <t>Beginning Net Intangibles</t>
  </si>
  <si>
    <t>(Amortization Expense)</t>
  </si>
  <si>
    <t>Ending Net Intangibles</t>
  </si>
  <si>
    <t>Beginning Equity Balance</t>
  </si>
  <si>
    <t>Net Income</t>
  </si>
  <si>
    <t>Issuance/ (Repurchase) of Equity</t>
  </si>
  <si>
    <t>Dividends Paid</t>
  </si>
  <si>
    <t>Option Proceeds</t>
  </si>
  <si>
    <t>Ending Equity Balance</t>
  </si>
  <si>
    <t>Share Repurchase Assumptions</t>
  </si>
  <si>
    <t>Current Year EPS</t>
  </si>
  <si>
    <t>Assumed Current Year EPS Multiple</t>
  </si>
  <si>
    <t>Amount Repurchased ( $ outgo)</t>
  </si>
  <si>
    <t>New Shares from Exercised Options</t>
  </si>
  <si>
    <t>New Shares from Exercised Options - millions</t>
  </si>
  <si>
    <t>Average Strike Price</t>
  </si>
  <si>
    <t>Dividend Assumptions</t>
  </si>
  <si>
    <t>Total Dividends Paid</t>
  </si>
  <si>
    <t>Dividend Payout Ratio</t>
  </si>
  <si>
    <t>`</t>
  </si>
  <si>
    <t>Beginning Balance - Basic (actual)</t>
  </si>
  <si>
    <t>Shares Repurchased</t>
  </si>
  <si>
    <t>Ending Balance - Basic (actual)</t>
  </si>
  <si>
    <t>Basic Weighted Average Shares</t>
  </si>
  <si>
    <t>Diluted Weighted Average Shares</t>
  </si>
  <si>
    <t>Debt Schedule</t>
  </si>
  <si>
    <t>Cash Flow Available for Financing Activities</t>
  </si>
  <si>
    <t>Proceeds from/ (Repurchase of) Equity</t>
  </si>
  <si>
    <t>Dividends</t>
  </si>
  <si>
    <t>+ Beginning Cash Balance</t>
  </si>
  <si>
    <t>- Minimum Cash Balance</t>
  </si>
  <si>
    <t>Cash Available for Debt Repayment</t>
  </si>
  <si>
    <t>Long Term Debt Issuance</t>
  </si>
  <si>
    <t>Long Term Debt (Repayments)</t>
  </si>
  <si>
    <t>Cash Available for Revolving Credit Facility</t>
  </si>
  <si>
    <t>Revolving Credit Facility</t>
  </si>
  <si>
    <t>Beginning Balance</t>
  </si>
  <si>
    <t>Discretionary (Paydown)/ Borrowings</t>
  </si>
  <si>
    <t>Ending Balance</t>
  </si>
  <si>
    <t>Long Term Debt</t>
  </si>
  <si>
    <t>Issuance</t>
  </si>
  <si>
    <t>(Repayment/ Amortization)</t>
  </si>
  <si>
    <t>Average Balance</t>
  </si>
  <si>
    <t>Interest Rate</t>
  </si>
  <si>
    <t>Interest Expense</t>
  </si>
  <si>
    <t>Total Interest Expense</t>
  </si>
  <si>
    <t>Cash Balances</t>
  </si>
  <si>
    <t>Interest Income</t>
  </si>
  <si>
    <t xml:space="preserve">Cost of Sales </t>
  </si>
  <si>
    <t>Purchases</t>
  </si>
  <si>
    <t>Accrued Income Taxes (% of COGS)</t>
  </si>
  <si>
    <t>Other accruals (% of COGS)</t>
  </si>
  <si>
    <t>Other Equipment</t>
  </si>
  <si>
    <t>Consolidated Working Capital</t>
  </si>
  <si>
    <t>Consolidated Depreciation and Capex</t>
  </si>
  <si>
    <t>Consolidated Amortization &amp; Intangible</t>
  </si>
  <si>
    <t>Consolidated Shareholder's Equity</t>
  </si>
  <si>
    <t>Consolidated Shares Outstanding</t>
  </si>
  <si>
    <t>Oral, Personal and Home Care</t>
  </si>
  <si>
    <t>Latin America</t>
  </si>
  <si>
    <t>Europe/South Pacific</t>
  </si>
  <si>
    <t>Asia</t>
  </si>
  <si>
    <t>Africa/Eurasia</t>
  </si>
  <si>
    <t>Total Oral, Personal and Home Care</t>
  </si>
  <si>
    <t>Total Net sales</t>
  </si>
  <si>
    <t>Pet Nutrition</t>
  </si>
  <si>
    <t>North America</t>
  </si>
  <si>
    <t>% growth (yoy)</t>
  </si>
  <si>
    <t>EBIT</t>
  </si>
  <si>
    <t>EBT</t>
  </si>
  <si>
    <t>Effective Tax Rates</t>
  </si>
  <si>
    <t>Less: Net income attributable to noncontrolling interests (% of Net Income)</t>
  </si>
  <si>
    <t>Total Depreciation (Other Equipment)</t>
  </si>
  <si>
    <t>Cash Flow for Financing Activities</t>
  </si>
  <si>
    <t>Current Portion of Long Term Debt</t>
  </si>
  <si>
    <t>Revolver</t>
  </si>
  <si>
    <t>Restricted Stock Units  (RSUs)</t>
  </si>
  <si>
    <t>Shares Issued (actual realization of options)</t>
  </si>
  <si>
    <t>EBITDA</t>
  </si>
  <si>
    <t>Prepared by Dheeraj Vaidya, CFA, FRM</t>
  </si>
  <si>
    <t xml:space="preserve">  Receivables </t>
  </si>
  <si>
    <t xml:space="preserve">  Receivables</t>
  </si>
  <si>
    <t xml:space="preserve">Adjustments to reconcile net income </t>
  </si>
  <si>
    <t>Other Long Term Asset Liability Schedule</t>
  </si>
  <si>
    <t>Liability</t>
  </si>
  <si>
    <t>Implied Share Price</t>
  </si>
  <si>
    <t>dheeraj@wallstreetmojo.com</t>
  </si>
  <si>
    <t>Table of Contents</t>
  </si>
  <si>
    <t>Income Statements</t>
  </si>
  <si>
    <t>Balance Sheet</t>
  </si>
  <si>
    <t>Cash Flows</t>
  </si>
  <si>
    <t>visit - www.wallstreetmojo.com</t>
  </si>
  <si>
    <t>Non-service related postretirement costs</t>
  </si>
  <si>
    <t>Short-term borrowing/(repayment) less than 90 days - net</t>
  </si>
  <si>
    <t>Loss on early extinguishment of debt</t>
  </si>
  <si>
    <t>Charge for U.S. tax reform</t>
  </si>
  <si>
    <t>Purchases of non-controlling interests in subsidiaries</t>
  </si>
  <si>
    <t>Solvency Ratios</t>
  </si>
  <si>
    <t>Current ratio</t>
  </si>
  <si>
    <t>Quick ratio</t>
  </si>
  <si>
    <t>Cash ratio</t>
  </si>
  <si>
    <t>Sales</t>
  </si>
  <si>
    <t>COGS</t>
  </si>
  <si>
    <t>Turnover Ratios</t>
  </si>
  <si>
    <t>Receivables turnover</t>
  </si>
  <si>
    <t>Inventory Turnover</t>
  </si>
  <si>
    <t>Payables turnover</t>
  </si>
  <si>
    <t>Days</t>
  </si>
  <si>
    <t>Average receivables collection period</t>
  </si>
  <si>
    <t>Average inventory processing period</t>
  </si>
  <si>
    <t>Cash Collection Cycle</t>
  </si>
  <si>
    <t>Operating Efficiency</t>
  </si>
  <si>
    <t>Net fixed asset turnover</t>
  </si>
  <si>
    <t>Equity turnover</t>
  </si>
  <si>
    <t>Operating Profitability</t>
  </si>
  <si>
    <t>Gross Profit Margin</t>
  </si>
  <si>
    <t>Operating Profit Margin</t>
  </si>
  <si>
    <t>Net Profit Margin</t>
  </si>
  <si>
    <t>Return on Total Assets</t>
  </si>
  <si>
    <t xml:space="preserve">ROE DuPont Analysis </t>
  </si>
  <si>
    <t>Financial Leverage</t>
  </si>
  <si>
    <t>Financial Risk Ratios</t>
  </si>
  <si>
    <t>Debt to equity ratio</t>
  </si>
  <si>
    <t>Debt ratio</t>
  </si>
  <si>
    <t>Interest coverage ratio</t>
  </si>
  <si>
    <t>DSCR</t>
  </si>
  <si>
    <t>Depreciation &amp; Amortization</t>
  </si>
  <si>
    <t>Long Term Debt Maturities</t>
  </si>
  <si>
    <t>Net Cash Interest</t>
  </si>
  <si>
    <t>Lease</t>
  </si>
  <si>
    <t>Dividend Payout Ratios</t>
  </si>
  <si>
    <t>Retention Ratio</t>
  </si>
  <si>
    <t>Sustainable Growth</t>
  </si>
  <si>
    <t>Trend Analysis</t>
  </si>
  <si>
    <t>Net Profit</t>
  </si>
  <si>
    <t>Business Risk</t>
  </si>
  <si>
    <t>Total Leverage</t>
  </si>
  <si>
    <t>Operating Leverage</t>
  </si>
  <si>
    <t>Return on Owner's Equity</t>
  </si>
  <si>
    <t>Profit Margin (Net Income / Sales)</t>
  </si>
  <si>
    <t>Asset Turnover (Sales / Average Assets)</t>
  </si>
  <si>
    <t>Total asset turnover (Sales / Average Assets)</t>
  </si>
  <si>
    <t>Return on Equity (Net Income / Total Equity)</t>
  </si>
  <si>
    <t>PPE (Break-up)</t>
  </si>
  <si>
    <t>Total  shareholders' equity</t>
  </si>
  <si>
    <t>Shares Repurchased (in millions)</t>
  </si>
  <si>
    <t>Restricted Stock Units</t>
  </si>
  <si>
    <t>Accounts payable, accrued income tax &amp; other accruals</t>
  </si>
  <si>
    <t>Debt (Long Term + Current Debt)</t>
  </si>
  <si>
    <t>Average Payable Days (payment period)</t>
  </si>
  <si>
    <t xml:space="preserve">  Gross profit Margin</t>
  </si>
  <si>
    <t xml:space="preserve">  Operating profit Margin (EBIT Margin)</t>
  </si>
  <si>
    <t xml:space="preserve">  Net income Margin</t>
  </si>
  <si>
    <t xml:space="preserve">  Net income Margin including noncontrolling interests</t>
  </si>
  <si>
    <t>Income before income taxes (EBT Margin)</t>
  </si>
  <si>
    <t>Dupont ROE</t>
  </si>
  <si>
    <t>Sales (% growth)</t>
  </si>
  <si>
    <t>Operating Profit (EBIT)  (% growth)</t>
  </si>
  <si>
    <t>Net Income  (% growth)</t>
  </si>
  <si>
    <t>Asset Leverage (Average Assets / Average Equity)</t>
  </si>
  <si>
    <t>Depreciation Forecast Sheet</t>
  </si>
  <si>
    <t>Amortization Forecast Sheet</t>
  </si>
  <si>
    <t>Working Capital Forecast</t>
  </si>
  <si>
    <t>Other Long Term Forecast</t>
  </si>
  <si>
    <t>Shareholder's Equity Forecast</t>
  </si>
  <si>
    <t>Shares Outstanding Forecast</t>
  </si>
  <si>
    <t>Debt Forecast</t>
  </si>
  <si>
    <t>For step by step instruction, please visit - https://www.wallstreetmojo.com/financial-modeling-in-excel/</t>
  </si>
  <si>
    <t>Financial Model - Colgate Palmolive (unsolved template)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</si>
</sst>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$&quot;#,##0_);[Red]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* #,##0_);_(* \(#,##0\);_(* &quot;-&quot;??_);_(@_)"/>
    <numFmt numFmtId="170" formatCode="[$-409]mmm\-yy;@"/>
    <numFmt numFmtId="171" formatCode="_(* #,##0.0_);_(* \(#,##0.0\);_(* &quot;-&quot;??_);_(@_)"/>
    <numFmt numFmtId="172" formatCode="0.0%"/>
    <numFmt numFmtId="173" formatCode="_(&quot;$&quot;* #,##0_);_(&quot;$&quot;* \(#,##0\);_(&quot;$&quot;* &quot;-&quot;??_);_(@_)"/>
    <numFmt numFmtId="174" formatCode="#,##0.0_);\(#,##0.0\)"/>
    <numFmt numFmtId="175" formatCode="0.0"/>
    <numFmt numFmtId="176" formatCode="_(* #,##0.0_);_(* \(#,##0.0\);_(* &quot;-&quot;_);_(@_)"/>
    <numFmt numFmtId="177" formatCode="&quot;$&quot;#,##0.0_);\(&quot;$&quot;#,##0.0\)"/>
    <numFmt numFmtId="178" formatCode="0.000"/>
    <numFmt numFmtId="179" formatCode="_(* #,##0.0_);_(* \(#,##0.0\);_(* &quot;-&quot;?_);_(@_)"/>
    <numFmt numFmtId="180" formatCode="#,##0.0"/>
    <numFmt numFmtId="181" formatCode=".0\x"/>
    <numFmt numFmtId="182" formatCode=".00\x"/>
    <numFmt numFmtId="183" formatCode="0.00\x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70C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2"/>
      <color rgb="FF00B0F0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Verdana"/>
      <family val="2"/>
    </font>
    <font>
      <sz val="11"/>
      <color indexed="8"/>
      <name val="Calibri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color indexed="48"/>
      <name val="Arial"/>
      <family val="2"/>
    </font>
    <font>
      <sz val="11"/>
      <color indexed="62"/>
      <name val="Arial"/>
      <family val="2"/>
    </font>
    <font>
      <sz val="11"/>
      <color indexed="17"/>
      <name val="Arial"/>
      <family val="2"/>
    </font>
    <font>
      <b/>
      <sz val="11"/>
      <color indexed="8"/>
      <name val="Arial"/>
      <family val="2"/>
    </font>
    <font>
      <sz val="11"/>
      <color indexed="12"/>
      <name val="Arial"/>
      <family val="2"/>
    </font>
    <font>
      <b/>
      <sz val="11"/>
      <color indexed="57"/>
      <name val="Arial"/>
      <family val="2"/>
    </font>
    <font>
      <b/>
      <sz val="11"/>
      <color indexed="17"/>
      <name val="Arial"/>
      <family val="2"/>
    </font>
    <font>
      <sz val="11"/>
      <color indexed="57"/>
      <name val="Arial"/>
      <family val="2"/>
    </font>
    <font>
      <sz val="11"/>
      <color indexed="18"/>
      <name val="Arial"/>
      <family val="2"/>
    </font>
    <font>
      <b/>
      <u/>
      <sz val="11"/>
      <name val="Arial"/>
      <family val="2"/>
    </font>
    <font>
      <sz val="11"/>
      <color rgb="FF00B050"/>
      <name val="Arial"/>
      <family val="2"/>
    </font>
    <font>
      <b/>
      <sz val="11"/>
      <color indexed="12"/>
      <name val="Arial"/>
      <family val="2"/>
    </font>
    <font>
      <b/>
      <u/>
      <sz val="11"/>
      <color rgb="FF00B0F0"/>
      <name val="Arial"/>
      <family val="2"/>
    </font>
    <font>
      <i/>
      <sz val="10"/>
      <color rgb="FF0070C0"/>
      <name val="Arial"/>
      <family val="2"/>
    </font>
    <font>
      <sz val="11"/>
      <color theme="6" tint="-0.499984740745262"/>
      <name val="Arial"/>
      <family val="2"/>
    </font>
    <font>
      <i/>
      <sz val="11"/>
      <color theme="1"/>
      <name val="Arial"/>
      <family val="2"/>
    </font>
    <font>
      <i/>
      <sz val="11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F0"/>
      <name val="Arial"/>
      <family val="2"/>
    </font>
    <font>
      <i/>
      <sz val="11"/>
      <color rgb="FF00B0F0"/>
      <name val="Arial"/>
      <family val="2"/>
    </font>
    <font>
      <b/>
      <sz val="18"/>
      <color rgb="FF0C4E54"/>
      <name val="Arial"/>
      <family val="2"/>
    </font>
    <font>
      <b/>
      <u/>
      <sz val="12"/>
      <color rgb="FF0C4E54"/>
      <name val="Arial"/>
      <family val="2"/>
    </font>
    <font>
      <sz val="11"/>
      <color rgb="FF0C4E54"/>
      <name val="Arial"/>
      <family val="2"/>
    </font>
    <font>
      <sz val="10"/>
      <color rgb="FF0C4E54"/>
      <name val="Arial"/>
      <family val="2"/>
    </font>
    <font>
      <b/>
      <sz val="10"/>
      <color rgb="FF0C4E54"/>
      <name val="Arial"/>
      <family val="2"/>
    </font>
    <font>
      <u/>
      <sz val="16"/>
      <color rgb="FF0C4E54"/>
      <name val="Arial"/>
      <family val="2"/>
    </font>
    <font>
      <sz val="11"/>
      <color theme="0" tint="-0.34998626667073579"/>
      <name val="Arial"/>
      <family val="2"/>
    </font>
    <font>
      <b/>
      <sz val="11"/>
      <color rgb="FF0C4E54"/>
      <name val="Arial"/>
      <family val="2"/>
    </font>
    <font>
      <b/>
      <sz val="22"/>
      <color rgb="FF0C4E54"/>
      <name val="Arial"/>
      <family val="2"/>
    </font>
    <font>
      <b/>
      <u/>
      <sz val="11"/>
      <color rgb="FF0C4E54"/>
      <name val="Arial"/>
      <family val="2"/>
    </font>
    <font>
      <u/>
      <sz val="11"/>
      <color rgb="FF0C4E54"/>
      <name val="Arial"/>
      <family val="2"/>
    </font>
    <font>
      <b/>
      <sz val="14"/>
      <color rgb="FF0C4E54"/>
      <name val="Arial"/>
      <family val="2"/>
    </font>
    <font>
      <b/>
      <sz val="12"/>
      <color rgb="FF0C4E54"/>
      <name val="Arial"/>
      <family val="2"/>
    </font>
    <font>
      <sz val="11"/>
      <color rgb="FF000000"/>
      <name val="Arial"/>
      <family val="2"/>
    </font>
    <font>
      <sz val="11"/>
      <color theme="3" tint="0.39997558519241921"/>
      <name val="Arial"/>
      <family val="2"/>
    </font>
    <font>
      <sz val="11"/>
      <color rgb="FFFF0000"/>
      <name val="Arial"/>
      <family val="2"/>
    </font>
    <font>
      <b/>
      <i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7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2" fillId="0" borderId="0">
      <alignment vertical="center"/>
      <protection locked="0"/>
    </xf>
    <xf numFmtId="168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7" fontId="1" fillId="0" borderId="0" applyFont="0" applyFill="0" applyBorder="0" applyAlignment="0" applyProtection="0"/>
  </cellStyleXfs>
  <cellXfs count="313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0" xfId="0" quotePrefix="1" applyFont="1" applyAlignment="1">
      <alignment horizontal="left"/>
    </xf>
    <xf numFmtId="169" fontId="2" fillId="0" borderId="0" xfId="1" quotePrefix="1" applyNumberFormat="1" applyFont="1" applyFill="1" applyBorder="1" applyAlignment="1">
      <alignment horizontal="left"/>
    </xf>
    <xf numFmtId="169" fontId="2" fillId="0" borderId="0" xfId="1" applyNumberFormat="1" applyFont="1" applyFill="1"/>
    <xf numFmtId="169" fontId="2" fillId="0" borderId="3" xfId="1" applyNumberFormat="1" applyFont="1" applyFill="1" applyBorder="1"/>
    <xf numFmtId="169" fontId="2" fillId="0" borderId="0" xfId="1" applyNumberFormat="1" applyFont="1" applyFill="1" applyBorder="1"/>
    <xf numFmtId="169" fontId="2" fillId="0" borderId="3" xfId="1" quotePrefix="1" applyNumberFormat="1" applyFont="1" applyFill="1" applyBorder="1" applyAlignment="1">
      <alignment horizontal="left"/>
    </xf>
    <xf numFmtId="170" fontId="2" fillId="0" borderId="1" xfId="0" applyNumberFormat="1" applyFont="1" applyBorder="1"/>
    <xf numFmtId="169" fontId="2" fillId="0" borderId="1" xfId="1" applyNumberFormat="1" applyFont="1" applyFill="1" applyBorder="1"/>
    <xf numFmtId="169" fontId="3" fillId="0" borderId="0" xfId="1" applyNumberFormat="1" applyFont="1" applyFill="1"/>
    <xf numFmtId="169" fontId="3" fillId="0" borderId="2" xfId="1" applyNumberFormat="1" applyFont="1" applyFill="1" applyBorder="1"/>
    <xf numFmtId="169" fontId="3" fillId="0" borderId="0" xfId="1" applyNumberFormat="1" applyFont="1" applyFill="1" applyAlignment="1">
      <alignment horizontal="right"/>
    </xf>
    <xf numFmtId="169" fontId="3" fillId="0" borderId="2" xfId="1" applyNumberFormat="1" applyFont="1" applyFill="1" applyBorder="1" applyAlignment="1">
      <alignment horizontal="left"/>
    </xf>
    <xf numFmtId="0" fontId="4" fillId="0" borderId="0" xfId="0" applyFont="1"/>
    <xf numFmtId="0" fontId="6" fillId="0" borderId="0" xfId="0" applyFont="1"/>
    <xf numFmtId="172" fontId="2" fillId="0" borderId="0" xfId="2" applyNumberFormat="1" applyFont="1" applyFill="1" applyAlignment="1">
      <alignment horizontal="right"/>
    </xf>
    <xf numFmtId="172" fontId="2" fillId="0" borderId="0" xfId="2" quotePrefix="1" applyNumberFormat="1" applyFont="1" applyFill="1" applyBorder="1" applyAlignment="1">
      <alignment horizontal="right"/>
    </xf>
    <xf numFmtId="172" fontId="2" fillId="0" borderId="3" xfId="2" applyNumberFormat="1" applyFont="1" applyFill="1" applyBorder="1" applyAlignment="1">
      <alignment horizontal="right"/>
    </xf>
    <xf numFmtId="172" fontId="2" fillId="0" borderId="3" xfId="2" quotePrefix="1" applyNumberFormat="1" applyFont="1" applyFill="1" applyBorder="1" applyAlignment="1">
      <alignment horizontal="right"/>
    </xf>
    <xf numFmtId="172" fontId="2" fillId="0" borderId="4" xfId="2" applyNumberFormat="1" applyFont="1" applyFill="1" applyBorder="1" applyAlignment="1">
      <alignment horizontal="right"/>
    </xf>
    <xf numFmtId="172" fontId="2" fillId="0" borderId="2" xfId="2" applyNumberFormat="1" applyFont="1" applyFill="1" applyBorder="1" applyAlignment="1">
      <alignment horizontal="right"/>
    </xf>
    <xf numFmtId="0" fontId="7" fillId="0" borderId="0" xfId="0" quotePrefix="1" applyFont="1" applyAlignment="1">
      <alignment horizontal="left"/>
    </xf>
    <xf numFmtId="172" fontId="6" fillId="0" borderId="0" xfId="2" quotePrefix="1" applyNumberFormat="1" applyFont="1" applyFill="1" applyBorder="1" applyAlignment="1">
      <alignment horizontal="right"/>
    </xf>
    <xf numFmtId="172" fontId="6" fillId="0" borderId="3" xfId="2" applyNumberFormat="1" applyFont="1" applyFill="1" applyBorder="1" applyAlignment="1">
      <alignment horizontal="right"/>
    </xf>
    <xf numFmtId="172" fontId="6" fillId="0" borderId="4" xfId="2" applyNumberFormat="1" applyFont="1" applyFill="1" applyBorder="1" applyAlignment="1">
      <alignment horizontal="right"/>
    </xf>
    <xf numFmtId="0" fontId="8" fillId="0" borderId="1" xfId="0" applyFont="1" applyBorder="1"/>
    <xf numFmtId="169" fontId="2" fillId="0" borderId="0" xfId="1" applyNumberFormat="1" applyFont="1" applyFill="1" applyAlignment="1"/>
    <xf numFmtId="169" fontId="2" fillId="0" borderId="0" xfId="1" quotePrefix="1" applyNumberFormat="1" applyFont="1" applyFill="1" applyAlignment="1">
      <alignment horizontal="left"/>
    </xf>
    <xf numFmtId="169" fontId="2" fillId="0" borderId="0" xfId="1" quotePrefix="1" applyNumberFormat="1" applyFont="1" applyFill="1" applyAlignment="1">
      <alignment horizontal="right"/>
    </xf>
    <xf numFmtId="169" fontId="2" fillId="0" borderId="1" xfId="1" applyNumberFormat="1" applyFont="1" applyFill="1" applyBorder="1" applyAlignment="1"/>
    <xf numFmtId="169" fontId="6" fillId="0" borderId="0" xfId="1" applyNumberFormat="1" applyFont="1" applyFill="1"/>
    <xf numFmtId="169" fontId="2" fillId="0" borderId="4" xfId="1" applyNumberFormat="1" applyFont="1" applyFill="1" applyBorder="1" applyAlignment="1">
      <alignment horizontal="left"/>
    </xf>
    <xf numFmtId="169" fontId="3" fillId="0" borderId="0" xfId="1" applyNumberFormat="1" applyFont="1" applyFill="1" applyAlignment="1"/>
    <xf numFmtId="169" fontId="3" fillId="0" borderId="0" xfId="1" quotePrefix="1" applyNumberFormat="1" applyFont="1" applyFill="1" applyAlignment="1">
      <alignment horizontal="left"/>
    </xf>
    <xf numFmtId="169" fontId="3" fillId="0" borderId="2" xfId="1" applyNumberFormat="1" applyFont="1" applyFill="1" applyBorder="1" applyAlignment="1"/>
    <xf numFmtId="169" fontId="3" fillId="0" borderId="2" xfId="1" quotePrefix="1" applyNumberFormat="1" applyFont="1" applyFill="1" applyBorder="1" applyAlignment="1">
      <alignment horizontal="left"/>
    </xf>
    <xf numFmtId="169" fontId="3" fillId="0" borderId="0" xfId="1" applyNumberFormat="1" applyFont="1" applyFill="1" applyBorder="1" applyAlignment="1"/>
    <xf numFmtId="169" fontId="3" fillId="0" borderId="0" xfId="1" quotePrefix="1" applyNumberFormat="1" applyFont="1" applyFill="1" applyBorder="1" applyAlignment="1">
      <alignment horizontal="left"/>
    </xf>
    <xf numFmtId="168" fontId="4" fillId="0" borderId="0" xfId="0" applyNumberFormat="1" applyFont="1"/>
    <xf numFmtId="0" fontId="9" fillId="0" borderId="0" xfId="3"/>
    <xf numFmtId="170" fontId="6" fillId="0" borderId="1" xfId="0" applyNumberFormat="1" applyFont="1" applyBorder="1"/>
    <xf numFmtId="0" fontId="2" fillId="0" borderId="0" xfId="3" applyFont="1"/>
    <xf numFmtId="173" fontId="3" fillId="0" borderId="0" xfId="4" applyNumberFormat="1" applyFont="1" applyFill="1"/>
    <xf numFmtId="0" fontId="3" fillId="0" borderId="0" xfId="3" applyFont="1"/>
    <xf numFmtId="169" fontId="3" fillId="0" borderId="0" xfId="5" applyNumberFormat="1" applyFont="1" applyFill="1" applyAlignment="1"/>
    <xf numFmtId="166" fontId="3" fillId="0" borderId="0" xfId="5" applyNumberFormat="1" applyFont="1" applyAlignment="1">
      <alignment horizontal="right"/>
    </xf>
    <xf numFmtId="37" fontId="3" fillId="0" borderId="0" xfId="5" applyNumberFormat="1" applyFont="1" applyFill="1"/>
    <xf numFmtId="37" fontId="3" fillId="0" borderId="2" xfId="3" applyNumberFormat="1" applyFont="1" applyBorder="1"/>
    <xf numFmtId="173" fontId="6" fillId="0" borderId="5" xfId="4" applyNumberFormat="1" applyFont="1" applyFill="1" applyBorder="1"/>
    <xf numFmtId="169" fontId="4" fillId="0" borderId="0" xfId="0" applyNumberFormat="1" applyFont="1"/>
    <xf numFmtId="0" fontId="14" fillId="0" borderId="0" xfId="0" applyFont="1"/>
    <xf numFmtId="0" fontId="15" fillId="0" borderId="0" xfId="0" applyFont="1"/>
    <xf numFmtId="172" fontId="8" fillId="0" borderId="0" xfId="8" applyNumberFormat="1" applyFont="1"/>
    <xf numFmtId="172" fontId="16" fillId="0" borderId="0" xfId="8" applyNumberFormat="1" applyFont="1"/>
    <xf numFmtId="176" fontId="4" fillId="0" borderId="0" xfId="0" applyNumberFormat="1" applyFont="1"/>
    <xf numFmtId="171" fontId="8" fillId="0" borderId="0" xfId="7" applyNumberFormat="1" applyFont="1"/>
    <xf numFmtId="0" fontId="19" fillId="0" borderId="2" xfId="0" applyFont="1" applyBorder="1"/>
    <xf numFmtId="0" fontId="4" fillId="0" borderId="2" xfId="0" applyFont="1" applyBorder="1"/>
    <xf numFmtId="0" fontId="4" fillId="0" borderId="0" xfId="0" applyFont="1" applyAlignment="1">
      <alignment horizontal="left"/>
    </xf>
    <xf numFmtId="171" fontId="16" fillId="0" borderId="0" xfId="7" applyNumberFormat="1" applyFont="1" applyAlignment="1">
      <alignment horizontal="right"/>
    </xf>
    <xf numFmtId="0" fontId="4" fillId="0" borderId="0" xfId="0" applyFont="1" applyAlignment="1">
      <alignment horizontal="right"/>
    </xf>
    <xf numFmtId="172" fontId="4" fillId="0" borderId="0" xfId="8" applyNumberFormat="1" applyFont="1"/>
    <xf numFmtId="0" fontId="4" fillId="0" borderId="5" xfId="0" applyFont="1" applyBorder="1" applyAlignment="1">
      <alignment horizontal="left"/>
    </xf>
    <xf numFmtId="171" fontId="2" fillId="0" borderId="5" xfId="7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5" xfId="0" applyFont="1" applyBorder="1"/>
    <xf numFmtId="172" fontId="4" fillId="0" borderId="0" xfId="0" applyNumberFormat="1" applyFont="1"/>
    <xf numFmtId="0" fontId="4" fillId="0" borderId="2" xfId="0" applyFont="1" applyBorder="1" applyAlignment="1">
      <alignment horizontal="left"/>
    </xf>
    <xf numFmtId="166" fontId="19" fillId="0" borderId="2" xfId="0" applyNumberFormat="1" applyFont="1" applyBorder="1" applyAlignment="1">
      <alignment horizontal="right"/>
    </xf>
    <xf numFmtId="0" fontId="19" fillId="0" borderId="0" xfId="0" applyFont="1"/>
    <xf numFmtId="176" fontId="19" fillId="0" borderId="0" xfId="0" applyNumberFormat="1" applyFont="1"/>
    <xf numFmtId="171" fontId="4" fillId="0" borderId="0" xfId="7" applyNumberFormat="1" applyFont="1" applyBorder="1"/>
    <xf numFmtId="175" fontId="4" fillId="0" borderId="0" xfId="0" applyNumberFormat="1" applyFont="1"/>
    <xf numFmtId="171" fontId="4" fillId="0" borderId="0" xfId="7" applyNumberFormat="1" applyFont="1"/>
    <xf numFmtId="0" fontId="4" fillId="0" borderId="0" xfId="0" applyFont="1" applyAlignment="1">
      <alignment horizontal="centerContinuous"/>
    </xf>
    <xf numFmtId="177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19" fillId="0" borderId="5" xfId="0" applyFont="1" applyBorder="1"/>
    <xf numFmtId="171" fontId="19" fillId="0" borderId="5" xfId="0" applyNumberFormat="1" applyFont="1" applyBorder="1"/>
    <xf numFmtId="0" fontId="19" fillId="0" borderId="6" xfId="0" applyFont="1" applyBorder="1"/>
    <xf numFmtId="171" fontId="21" fillId="0" borderId="7" xfId="7" applyNumberFormat="1" applyFont="1" applyBorder="1"/>
    <xf numFmtId="171" fontId="19" fillId="0" borderId="7" xfId="7" applyNumberFormat="1" applyFont="1" applyBorder="1"/>
    <xf numFmtId="166" fontId="22" fillId="0" borderId="0" xfId="6" applyNumberFormat="1" applyFont="1">
      <alignment vertical="center"/>
      <protection locked="0"/>
    </xf>
    <xf numFmtId="166" fontId="17" fillId="0" borderId="0" xfId="6" applyNumberFormat="1" applyFont="1">
      <alignment vertical="center"/>
      <protection locked="0"/>
    </xf>
    <xf numFmtId="0" fontId="6" fillId="0" borderId="0" xfId="0" applyFont="1" applyAlignment="1">
      <alignment horizontal="right"/>
    </xf>
    <xf numFmtId="175" fontId="2" fillId="0" borderId="0" xfId="0" applyNumberFormat="1" applyFont="1"/>
    <xf numFmtId="171" fontId="4" fillId="2" borderId="0" xfId="7" applyNumberFormat="1" applyFont="1" applyFill="1"/>
    <xf numFmtId="171" fontId="4" fillId="0" borderId="0" xfId="7" applyNumberFormat="1" applyFont="1" applyFill="1"/>
    <xf numFmtId="171" fontId="23" fillId="0" borderId="0" xfId="7" applyNumberFormat="1" applyFont="1" applyFill="1"/>
    <xf numFmtId="171" fontId="8" fillId="0" borderId="0" xfId="7" applyNumberFormat="1" applyFont="1" applyFill="1"/>
    <xf numFmtId="0" fontId="20" fillId="0" borderId="0" xfId="0" applyFont="1"/>
    <xf numFmtId="171" fontId="18" fillId="0" borderId="0" xfId="7" applyNumberFormat="1" applyFont="1"/>
    <xf numFmtId="171" fontId="24" fillId="2" borderId="0" xfId="7" applyNumberFormat="1" applyFont="1" applyFill="1" applyBorder="1" applyAlignment="1" applyProtection="1">
      <alignment vertical="center"/>
      <protection locked="0"/>
    </xf>
    <xf numFmtId="171" fontId="18" fillId="0" borderId="0" xfId="7" applyNumberFormat="1" applyFont="1" applyBorder="1" applyAlignment="1" applyProtection="1">
      <alignment vertical="center"/>
      <protection locked="0"/>
    </xf>
    <xf numFmtId="171" fontId="8" fillId="2" borderId="0" xfId="7" applyNumberFormat="1" applyFont="1" applyFill="1"/>
    <xf numFmtId="171" fontId="2" fillId="0" borderId="0" xfId="7" applyNumberFormat="1" applyFont="1"/>
    <xf numFmtId="172" fontId="17" fillId="0" borderId="0" xfId="0" applyNumberFormat="1" applyFont="1"/>
    <xf numFmtId="172" fontId="8" fillId="0" borderId="0" xfId="0" applyNumberFormat="1" applyFont="1"/>
    <xf numFmtId="171" fontId="6" fillId="2" borderId="0" xfId="7" applyNumberFormat="1" applyFont="1" applyFill="1" applyBorder="1" applyAlignment="1" applyProtection="1">
      <alignment vertical="center"/>
      <protection locked="0"/>
    </xf>
    <xf numFmtId="171" fontId="22" fillId="0" borderId="0" xfId="7" applyNumberFormat="1" applyFont="1" applyBorder="1" applyAlignment="1" applyProtection="1">
      <alignment vertical="center"/>
      <protection locked="0"/>
    </xf>
    <xf numFmtId="0" fontId="4" fillId="0" borderId="0" xfId="0" quotePrefix="1" applyFont="1"/>
    <xf numFmtId="171" fontId="19" fillId="0" borderId="0" xfId="7" applyNumberFormat="1" applyFont="1"/>
    <xf numFmtId="171" fontId="20" fillId="0" borderId="0" xfId="7" applyNumberFormat="1" applyFont="1" applyBorder="1"/>
    <xf numFmtId="171" fontId="20" fillId="0" borderId="2" xfId="7" applyNumberFormat="1" applyFont="1" applyBorder="1"/>
    <xf numFmtId="171" fontId="4" fillId="0" borderId="0" xfId="0" applyNumberFormat="1" applyFont="1"/>
    <xf numFmtId="10" fontId="17" fillId="0" borderId="0" xfId="0" applyNumberFormat="1" applyFont="1"/>
    <xf numFmtId="169" fontId="18" fillId="0" borderId="0" xfId="1" applyNumberFormat="1" applyFont="1"/>
    <xf numFmtId="169" fontId="4" fillId="0" borderId="0" xfId="1" applyNumberFormat="1" applyFont="1"/>
    <xf numFmtId="169" fontId="19" fillId="0" borderId="0" xfId="1" applyNumberFormat="1" applyFont="1"/>
    <xf numFmtId="169" fontId="8" fillId="0" borderId="0" xfId="1" applyNumberFormat="1" applyFont="1"/>
    <xf numFmtId="172" fontId="8" fillId="0" borderId="0" xfId="2" applyNumberFormat="1" applyFont="1"/>
    <xf numFmtId="0" fontId="6" fillId="0" borderId="5" xfId="0" applyFont="1" applyBorder="1"/>
    <xf numFmtId="169" fontId="4" fillId="0" borderId="5" xfId="1" applyNumberFormat="1" applyFont="1" applyBorder="1"/>
    <xf numFmtId="169" fontId="8" fillId="0" borderId="5" xfId="1" applyNumberFormat="1" applyFont="1" applyBorder="1"/>
    <xf numFmtId="169" fontId="6" fillId="0" borderId="8" xfId="1" applyNumberFormat="1" applyFont="1" applyBorder="1"/>
    <xf numFmtId="169" fontId="19" fillId="0" borderId="8" xfId="1" applyNumberFormat="1" applyFont="1" applyBorder="1"/>
    <xf numFmtId="0" fontId="2" fillId="0" borderId="1" xfId="3" applyFont="1" applyBorder="1"/>
    <xf numFmtId="0" fontId="25" fillId="0" borderId="0" xfId="0" applyFont="1"/>
    <xf numFmtId="0" fontId="5" fillId="0" borderId="8" xfId="0" applyFont="1" applyBorder="1"/>
    <xf numFmtId="0" fontId="4" fillId="3" borderId="0" xfId="0" applyFont="1" applyFill="1"/>
    <xf numFmtId="176" fontId="4" fillId="3" borderId="0" xfId="0" applyNumberFormat="1" applyFont="1" applyFill="1"/>
    <xf numFmtId="171" fontId="8" fillId="3" borderId="0" xfId="7" applyNumberFormat="1" applyFont="1" applyFill="1"/>
    <xf numFmtId="0" fontId="28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 indent="2"/>
    </xf>
    <xf numFmtId="0" fontId="10" fillId="0" borderId="0" xfId="0" applyFont="1" applyAlignment="1">
      <alignment vertical="top"/>
    </xf>
    <xf numFmtId="0" fontId="10" fillId="0" borderId="5" xfId="0" applyFont="1" applyBorder="1" applyAlignment="1">
      <alignment vertical="top"/>
    </xf>
    <xf numFmtId="0" fontId="4" fillId="0" borderId="1" xfId="0" applyFont="1" applyBorder="1"/>
    <xf numFmtId="165" fontId="3" fillId="0" borderId="0" xfId="0" applyNumberFormat="1" applyFont="1" applyAlignment="1">
      <alignment vertical="top"/>
    </xf>
    <xf numFmtId="172" fontId="15" fillId="0" borderId="0" xfId="2" applyNumberFormat="1" applyFont="1" applyAlignment="1">
      <alignment vertical="top"/>
    </xf>
    <xf numFmtId="37" fontId="3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165" fontId="6" fillId="0" borderId="5" xfId="0" applyNumberFormat="1" applyFont="1" applyBorder="1" applyAlignment="1">
      <alignment vertical="top"/>
    </xf>
    <xf numFmtId="0" fontId="29" fillId="0" borderId="0" xfId="0" applyFont="1" applyAlignment="1">
      <alignment horizontal="left" vertical="top" indent="2"/>
    </xf>
    <xf numFmtId="172" fontId="3" fillId="0" borderId="0" xfId="0" applyNumberFormat="1" applyFont="1"/>
    <xf numFmtId="172" fontId="4" fillId="0" borderId="0" xfId="2" applyNumberFormat="1" applyFont="1"/>
    <xf numFmtId="169" fontId="3" fillId="0" borderId="0" xfId="1" applyNumberFormat="1" applyFont="1"/>
    <xf numFmtId="172" fontId="3" fillId="0" borderId="0" xfId="2" applyNumberFormat="1" applyFont="1"/>
    <xf numFmtId="169" fontId="26" fillId="0" borderId="0" xfId="1" quotePrefix="1" applyNumberFormat="1" applyFont="1" applyFill="1" applyAlignment="1">
      <alignment horizontal="left"/>
    </xf>
    <xf numFmtId="169" fontId="26" fillId="0" borderId="2" xfId="1" quotePrefix="1" applyNumberFormat="1" applyFont="1" applyFill="1" applyBorder="1" applyAlignment="1">
      <alignment horizontal="left"/>
    </xf>
    <xf numFmtId="0" fontId="19" fillId="4" borderId="0" xfId="0" applyFont="1" applyFill="1"/>
    <xf numFmtId="0" fontId="4" fillId="0" borderId="9" xfId="0" applyFont="1" applyBorder="1" applyAlignment="1">
      <alignment horizontal="left" indent="1"/>
    </xf>
    <xf numFmtId="0" fontId="4" fillId="0" borderId="10" xfId="0" applyFont="1" applyBorder="1"/>
    <xf numFmtId="171" fontId="4" fillId="0" borderId="10" xfId="7" applyNumberFormat="1" applyFont="1" applyBorder="1"/>
    <xf numFmtId="0" fontId="4" fillId="0" borderId="11" xfId="0" applyFont="1" applyBorder="1" applyAlignment="1">
      <alignment horizontal="left" indent="1"/>
    </xf>
    <xf numFmtId="0" fontId="4" fillId="0" borderId="12" xfId="0" applyFont="1" applyBorder="1" applyAlignment="1">
      <alignment horizontal="left" indent="1"/>
    </xf>
    <xf numFmtId="171" fontId="4" fillId="0" borderId="1" xfId="7" applyNumberFormat="1" applyFont="1" applyBorder="1"/>
    <xf numFmtId="171" fontId="3" fillId="0" borderId="0" xfId="7" applyNumberFormat="1" applyFont="1" applyFill="1"/>
    <xf numFmtId="169" fontId="26" fillId="0" borderId="0" xfId="1" applyNumberFormat="1" applyFont="1" applyFill="1"/>
    <xf numFmtId="173" fontId="26" fillId="0" borderId="0" xfId="4" applyNumberFormat="1" applyFont="1" applyFill="1"/>
    <xf numFmtId="0" fontId="26" fillId="0" borderId="0" xfId="3" applyFont="1"/>
    <xf numFmtId="37" fontId="26" fillId="0" borderId="0" xfId="3" applyNumberFormat="1" applyFont="1"/>
    <xf numFmtId="171" fontId="26" fillId="0" borderId="0" xfId="1" applyNumberFormat="1" applyFont="1" applyFill="1"/>
    <xf numFmtId="169" fontId="26" fillId="0" borderId="0" xfId="1" applyNumberFormat="1" applyFont="1" applyFill="1" applyAlignment="1"/>
    <xf numFmtId="171" fontId="20" fillId="0" borderId="0" xfId="7" applyNumberFormat="1" applyFont="1" applyFill="1" applyBorder="1"/>
    <xf numFmtId="0" fontId="4" fillId="0" borderId="8" xfId="0" applyFont="1" applyBorder="1"/>
    <xf numFmtId="0" fontId="5" fillId="0" borderId="0" xfId="0" applyFont="1"/>
    <xf numFmtId="0" fontId="4" fillId="0" borderId="6" xfId="0" applyFont="1" applyBorder="1"/>
    <xf numFmtId="169" fontId="4" fillId="0" borderId="7" xfId="1" applyNumberFormat="1" applyFont="1" applyFill="1" applyBorder="1"/>
    <xf numFmtId="171" fontId="24" fillId="0" borderId="0" xfId="7" applyNumberFormat="1" applyFont="1" applyFill="1" applyBorder="1" applyAlignment="1" applyProtection="1">
      <alignment vertical="center"/>
      <protection locked="0"/>
    </xf>
    <xf numFmtId="171" fontId="2" fillId="0" borderId="0" xfId="7" applyNumberFormat="1" applyFont="1" applyFill="1"/>
    <xf numFmtId="171" fontId="18" fillId="0" borderId="0" xfId="7" applyNumberFormat="1" applyFont="1" applyFill="1"/>
    <xf numFmtId="179" fontId="4" fillId="0" borderId="0" xfId="0" applyNumberFormat="1" applyFont="1"/>
    <xf numFmtId="166" fontId="18" fillId="0" borderId="0" xfId="6" applyNumberFormat="1" applyFont="1">
      <alignment vertical="center"/>
      <protection locked="0"/>
    </xf>
    <xf numFmtId="169" fontId="18" fillId="0" borderId="8" xfId="1" applyNumberFormat="1" applyFont="1" applyBorder="1"/>
    <xf numFmtId="171" fontId="3" fillId="0" borderId="0" xfId="1" applyNumberFormat="1" applyFont="1"/>
    <xf numFmtId="171" fontId="30" fillId="0" borderId="0" xfId="1" applyNumberFormat="1" applyFont="1"/>
    <xf numFmtId="171" fontId="3" fillId="0" borderId="0" xfId="7" applyNumberFormat="1" applyFont="1"/>
    <xf numFmtId="171" fontId="3" fillId="0" borderId="0" xfId="7" applyNumberFormat="1" applyFont="1" applyBorder="1" applyAlignment="1" applyProtection="1">
      <alignment vertical="center"/>
      <protection locked="0"/>
    </xf>
    <xf numFmtId="168" fontId="18" fillId="0" borderId="0" xfId="1" applyFont="1"/>
    <xf numFmtId="169" fontId="24" fillId="2" borderId="0" xfId="1" applyNumberFormat="1" applyFont="1" applyFill="1" applyBorder="1" applyAlignment="1" applyProtection="1">
      <alignment vertical="center"/>
      <protection locked="0"/>
    </xf>
    <xf numFmtId="169" fontId="8" fillId="2" borderId="0" xfId="1" applyNumberFormat="1" applyFont="1" applyFill="1"/>
    <xf numFmtId="169" fontId="2" fillId="0" borderId="0" xfId="1" applyNumberFormat="1" applyFont="1" applyBorder="1"/>
    <xf numFmtId="169" fontId="20" fillId="0" borderId="0" xfId="1" applyNumberFormat="1" applyFont="1"/>
    <xf numFmtId="169" fontId="8" fillId="0" borderId="0" xfId="1" applyNumberFormat="1" applyFont="1" applyFill="1"/>
    <xf numFmtId="169" fontId="20" fillId="0" borderId="0" xfId="1" applyNumberFormat="1" applyFont="1" applyBorder="1"/>
    <xf numFmtId="169" fontId="26" fillId="0" borderId="0" xfId="1" applyNumberFormat="1" applyFont="1" applyFill="1" applyBorder="1"/>
    <xf numFmtId="169" fontId="17" fillId="0" borderId="0" xfId="1" applyNumberFormat="1" applyFont="1"/>
    <xf numFmtId="169" fontId="2" fillId="0" borderId="0" xfId="1" applyNumberFormat="1" applyFont="1" applyBorder="1" applyAlignment="1" applyProtection="1">
      <alignment vertical="center"/>
      <protection locked="0"/>
    </xf>
    <xf numFmtId="178" fontId="3" fillId="0" borderId="0" xfId="0" applyNumberFormat="1" applyFont="1"/>
    <xf numFmtId="181" fontId="2" fillId="0" borderId="0" xfId="1" applyNumberFormat="1" applyFont="1" applyFill="1"/>
    <xf numFmtId="181" fontId="3" fillId="0" borderId="0" xfId="1" applyNumberFormat="1" applyFont="1" applyFill="1"/>
    <xf numFmtId="168" fontId="3" fillId="0" borderId="0" xfId="1" applyFont="1" applyAlignment="1">
      <alignment vertical="top"/>
    </xf>
    <xf numFmtId="0" fontId="31" fillId="0" borderId="0" xfId="0" applyFont="1"/>
    <xf numFmtId="169" fontId="32" fillId="0" borderId="0" xfId="1" applyNumberFormat="1" applyFont="1"/>
    <xf numFmtId="0" fontId="4" fillId="0" borderId="4" xfId="0" applyFont="1" applyBorder="1"/>
    <xf numFmtId="171" fontId="20" fillId="0" borderId="4" xfId="7" applyNumberFormat="1" applyFont="1" applyFill="1" applyBorder="1"/>
    <xf numFmtId="171" fontId="2" fillId="0" borderId="5" xfId="7" applyNumberFormat="1" applyFont="1" applyBorder="1" applyAlignment="1" applyProtection="1">
      <alignment vertical="center"/>
      <protection locked="0"/>
    </xf>
    <xf numFmtId="171" fontId="2" fillId="0" borderId="5" xfId="7" applyNumberFormat="1" applyFont="1" applyFill="1" applyBorder="1" applyAlignment="1" applyProtection="1">
      <alignment vertical="center"/>
      <protection locked="0"/>
    </xf>
    <xf numFmtId="0" fontId="5" fillId="4" borderId="0" xfId="0" applyFont="1" applyFill="1"/>
    <xf numFmtId="0" fontId="4" fillId="4" borderId="0" xfId="0" applyFont="1" applyFill="1"/>
    <xf numFmtId="182" fontId="4" fillId="0" borderId="0" xfId="1" applyNumberFormat="1" applyFont="1" applyBorder="1"/>
    <xf numFmtId="182" fontId="4" fillId="0" borderId="0" xfId="1" applyNumberFormat="1" applyFont="1"/>
    <xf numFmtId="171" fontId="4" fillId="0" borderId="0" xfId="1" applyNumberFormat="1" applyFont="1"/>
    <xf numFmtId="172" fontId="5" fillId="0" borderId="0" xfId="2" applyNumberFormat="1" applyFont="1"/>
    <xf numFmtId="37" fontId="4" fillId="0" borderId="0" xfId="0" applyNumberFormat="1" applyFont="1"/>
    <xf numFmtId="168" fontId="4" fillId="0" borderId="0" xfId="1" applyFont="1"/>
    <xf numFmtId="9" fontId="4" fillId="0" borderId="0" xfId="2" applyFont="1"/>
    <xf numFmtId="9" fontId="4" fillId="0" borderId="0" xfId="0" applyNumberFormat="1" applyFont="1"/>
    <xf numFmtId="170" fontId="4" fillId="4" borderId="2" xfId="0" applyNumberFormat="1" applyFont="1" applyFill="1" applyBorder="1"/>
    <xf numFmtId="183" fontId="4" fillId="0" borderId="0" xfId="1" applyNumberFormat="1" applyFont="1" applyBorder="1"/>
    <xf numFmtId="172" fontId="2" fillId="0" borderId="0" xfId="2" applyNumberFormat="1" applyFont="1" applyFill="1" applyAlignment="1"/>
    <xf numFmtId="0" fontId="2" fillId="0" borderId="0" xfId="0" quotePrefix="1" applyFont="1" applyAlignment="1">
      <alignment horizontal="left" wrapText="1" indent="4"/>
    </xf>
    <xf numFmtId="0" fontId="2" fillId="0" borderId="0" xfId="0" applyFont="1" applyAlignment="1">
      <alignment horizontal="left"/>
    </xf>
    <xf numFmtId="170" fontId="6" fillId="0" borderId="0" xfId="0" applyNumberFormat="1" applyFont="1"/>
    <xf numFmtId="164" fontId="26" fillId="0" borderId="0" xfId="0" applyNumberFormat="1" applyFont="1"/>
    <xf numFmtId="164" fontId="34" fillId="0" borderId="0" xfId="0" applyNumberFormat="1" applyFont="1"/>
    <xf numFmtId="172" fontId="35" fillId="0" borderId="0" xfId="2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72" fontId="34" fillId="0" borderId="2" xfId="2" applyNumberFormat="1" applyFont="1" applyFill="1" applyBorder="1" applyAlignment="1">
      <alignment horizontal="right"/>
    </xf>
    <xf numFmtId="172" fontId="34" fillId="0" borderId="0" xfId="2" applyNumberFormat="1" applyFont="1" applyFill="1" applyAlignment="1">
      <alignment horizontal="right"/>
    </xf>
    <xf numFmtId="172" fontId="34" fillId="0" borderId="0" xfId="2" applyNumberFormat="1" applyFont="1"/>
    <xf numFmtId="169" fontId="2" fillId="0" borderId="2" xfId="1" applyNumberFormat="1" applyFont="1" applyFill="1" applyBorder="1"/>
    <xf numFmtId="172" fontId="6" fillId="0" borderId="0" xfId="2" applyNumberFormat="1" applyFont="1" applyFill="1" applyBorder="1" applyAlignment="1">
      <alignment horizontal="right"/>
    </xf>
    <xf numFmtId="172" fontId="34" fillId="0" borderId="0" xfId="2" applyNumberFormat="1" applyFont="1" applyFill="1" applyBorder="1" applyAlignment="1">
      <alignment horizontal="right"/>
    </xf>
    <xf numFmtId="168" fontId="2" fillId="0" borderId="4" xfId="1" applyFont="1" applyFill="1" applyBorder="1"/>
    <xf numFmtId="168" fontId="2" fillId="0" borderId="1" xfId="1" applyFont="1" applyFill="1" applyBorder="1"/>
    <xf numFmtId="169" fontId="2" fillId="0" borderId="0" xfId="1" applyNumberFormat="1" applyFont="1"/>
    <xf numFmtId="172" fontId="3" fillId="0" borderId="0" xfId="8" applyNumberFormat="1" applyFont="1"/>
    <xf numFmtId="169" fontId="26" fillId="0" borderId="2" xfId="1" applyNumberFormat="1" applyFont="1" applyFill="1" applyBorder="1"/>
    <xf numFmtId="168" fontId="17" fillId="0" borderId="0" xfId="1" applyFont="1"/>
    <xf numFmtId="168" fontId="17" fillId="0" borderId="0" xfId="1" applyFont="1" applyFill="1"/>
    <xf numFmtId="169" fontId="26" fillId="0" borderId="0" xfId="1" applyNumberFormat="1" applyFont="1" applyBorder="1"/>
    <xf numFmtId="171" fontId="2" fillId="0" borderId="4" xfId="7" applyNumberFormat="1" applyFont="1" applyFill="1" applyBorder="1"/>
    <xf numFmtId="171" fontId="26" fillId="0" borderId="0" xfId="7" applyNumberFormat="1" applyFont="1" applyFill="1" applyBorder="1" applyAlignment="1" applyProtection="1">
      <alignment vertical="center"/>
      <protection locked="0"/>
    </xf>
    <xf numFmtId="171" fontId="26" fillId="0" borderId="0" xfId="7" applyNumberFormat="1" applyFont="1"/>
    <xf numFmtId="179" fontId="0" fillId="0" borderId="0" xfId="0" applyNumberFormat="1"/>
    <xf numFmtId="169" fontId="2" fillId="0" borderId="2" xfId="1" applyNumberFormat="1" applyFont="1" applyFill="1" applyBorder="1" applyAlignment="1">
      <alignment horizontal="left"/>
    </xf>
    <xf numFmtId="172" fontId="4" fillId="0" borderId="0" xfId="2" applyNumberFormat="1" applyFont="1" applyFill="1"/>
    <xf numFmtId="0" fontId="36" fillId="0" borderId="0" xfId="0" applyFont="1"/>
    <xf numFmtId="0" fontId="37" fillId="0" borderId="0" xfId="0" quotePrefix="1" applyFont="1" applyAlignment="1">
      <alignment horizontal="left"/>
    </xf>
    <xf numFmtId="168" fontId="3" fillId="0" borderId="4" xfId="1" applyFont="1" applyFill="1" applyBorder="1"/>
    <xf numFmtId="168" fontId="3" fillId="0" borderId="1" xfId="1" applyFont="1" applyFill="1" applyBorder="1"/>
    <xf numFmtId="168" fontId="3" fillId="0" borderId="0" xfId="1" applyFont="1" applyFill="1" applyBorder="1"/>
    <xf numFmtId="168" fontId="26" fillId="0" borderId="0" xfId="1" applyFont="1" applyFill="1"/>
    <xf numFmtId="0" fontId="6" fillId="0" borderId="0" xfId="0" quotePrefix="1" applyFont="1" applyAlignment="1">
      <alignment horizontal="left"/>
    </xf>
    <xf numFmtId="0" fontId="10" fillId="0" borderId="13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37" fontId="2" fillId="0" borderId="4" xfId="0" applyNumberFormat="1" applyFont="1" applyBorder="1" applyAlignment="1">
      <alignment vertical="top"/>
    </xf>
    <xf numFmtId="0" fontId="10" fillId="0" borderId="15" xfId="0" applyFont="1" applyBorder="1" applyAlignment="1">
      <alignment vertical="top"/>
    </xf>
    <xf numFmtId="0" fontId="38" fillId="0" borderId="0" xfId="0" applyFont="1"/>
    <xf numFmtId="172" fontId="2" fillId="0" borderId="1" xfId="2" applyNumberFormat="1" applyFont="1" applyFill="1" applyBorder="1" applyAlignment="1"/>
    <xf numFmtId="169" fontId="38" fillId="0" borderId="0" xfId="1" applyNumberFormat="1" applyFont="1" applyFill="1" applyAlignment="1"/>
    <xf numFmtId="0" fontId="39" fillId="0" borderId="0" xfId="3" applyFont="1"/>
    <xf numFmtId="0" fontId="6" fillId="0" borderId="0" xfId="3" applyFont="1"/>
    <xf numFmtId="174" fontId="2" fillId="0" borderId="0" xfId="3" applyNumberFormat="1" applyFont="1"/>
    <xf numFmtId="0" fontId="2" fillId="0" borderId="0" xfId="3" applyFont="1" applyAlignment="1">
      <alignment horizontal="left" indent="2"/>
    </xf>
    <xf numFmtId="37" fontId="3" fillId="0" borderId="0" xfId="3" applyNumberFormat="1" applyFont="1"/>
    <xf numFmtId="37" fontId="2" fillId="0" borderId="0" xfId="3" applyNumberFormat="1" applyFont="1"/>
    <xf numFmtId="37" fontId="6" fillId="0" borderId="4" xfId="3" applyNumberFormat="1" applyFont="1" applyBorder="1"/>
    <xf numFmtId="3" fontId="3" fillId="0" borderId="0" xfId="3" applyNumberFormat="1" applyFont="1"/>
    <xf numFmtId="174" fontId="10" fillId="0" borderId="0" xfId="3" applyNumberFormat="1" applyFont="1"/>
    <xf numFmtId="0" fontId="10" fillId="0" borderId="0" xfId="3" applyFont="1"/>
    <xf numFmtId="0" fontId="40" fillId="0" borderId="0" xfId="3" applyFont="1"/>
    <xf numFmtId="0" fontId="41" fillId="0" borderId="0" xfId="0" quotePrefix="1" applyFont="1" applyAlignment="1">
      <alignment horizontal="left"/>
    </xf>
    <xf numFmtId="171" fontId="42" fillId="4" borderId="0" xfId="7" applyNumberFormat="1" applyFont="1" applyFill="1"/>
    <xf numFmtId="171" fontId="42" fillId="4" borderId="0" xfId="7" applyNumberFormat="1" applyFont="1" applyFill="1" applyBorder="1" applyAlignment="1" applyProtection="1">
      <alignment vertical="center"/>
      <protection locked="0"/>
    </xf>
    <xf numFmtId="171" fontId="42" fillId="4" borderId="4" xfId="7" applyNumberFormat="1" applyFont="1" applyFill="1" applyBorder="1"/>
    <xf numFmtId="175" fontId="34" fillId="0" borderId="0" xfId="0" applyNumberFormat="1" applyFont="1"/>
    <xf numFmtId="166" fontId="26" fillId="0" borderId="0" xfId="6" applyNumberFormat="1" applyFont="1">
      <alignment vertical="center"/>
      <protection locked="0"/>
    </xf>
    <xf numFmtId="168" fontId="3" fillId="0" borderId="0" xfId="1" applyFont="1" applyFill="1"/>
    <xf numFmtId="168" fontId="3" fillId="0" borderId="0" xfId="1" applyFont="1" applyFill="1" applyAlignment="1">
      <alignment vertical="top"/>
    </xf>
    <xf numFmtId="169" fontId="26" fillId="0" borderId="0" xfId="1" applyNumberFormat="1" applyFont="1"/>
    <xf numFmtId="169" fontId="3" fillId="0" borderId="0" xfId="1" applyNumberFormat="1" applyFont="1" applyFill="1" applyBorder="1"/>
    <xf numFmtId="166" fontId="2" fillId="0" borderId="0" xfId="6" applyNumberFormat="1" applyFont="1">
      <alignment vertical="center"/>
      <protection locked="0"/>
    </xf>
    <xf numFmtId="169" fontId="2" fillId="0" borderId="8" xfId="1" applyNumberFormat="1" applyFont="1" applyBorder="1"/>
    <xf numFmtId="0" fontId="27" fillId="0" borderId="0" xfId="0" applyFont="1" applyAlignment="1">
      <alignment horizontal="right"/>
    </xf>
    <xf numFmtId="175" fontId="3" fillId="0" borderId="0" xfId="0" applyNumberFormat="1" applyFont="1"/>
    <xf numFmtId="168" fontId="3" fillId="0" borderId="0" xfId="1" applyFont="1"/>
    <xf numFmtId="171" fontId="2" fillId="0" borderId="0" xfId="1" applyNumberFormat="1" applyFont="1" applyFill="1" applyBorder="1"/>
    <xf numFmtId="180" fontId="2" fillId="0" borderId="0" xfId="0" applyNumberFormat="1" applyFont="1"/>
    <xf numFmtId="180" fontId="3" fillId="0" borderId="0" xfId="0" applyNumberFormat="1" applyFont="1"/>
    <xf numFmtId="169" fontId="26" fillId="0" borderId="0" xfId="1" applyNumberFormat="1" applyFont="1" applyFill="1" applyBorder="1" applyAlignment="1" applyProtection="1">
      <alignment vertical="center"/>
      <protection locked="0"/>
    </xf>
    <xf numFmtId="168" fontId="26" fillId="0" borderId="0" xfId="1" applyFont="1"/>
    <xf numFmtId="171" fontId="26" fillId="0" borderId="0" xfId="7" applyNumberFormat="1" applyFont="1" applyFill="1"/>
    <xf numFmtId="175" fontId="26" fillId="0" borderId="0" xfId="0" applyNumberFormat="1" applyFont="1"/>
    <xf numFmtId="171" fontId="26" fillId="0" borderId="0" xfId="0" applyNumberFormat="1" applyFont="1"/>
    <xf numFmtId="172" fontId="2" fillId="0" borderId="0" xfId="2" applyNumberFormat="1" applyFont="1"/>
    <xf numFmtId="0" fontId="43" fillId="0" borderId="0" xfId="0" applyFont="1" applyAlignment="1">
      <alignment horizontal="left" indent="2"/>
    </xf>
    <xf numFmtId="0" fontId="44" fillId="0" borderId="0" xfId="0" applyFont="1"/>
    <xf numFmtId="0" fontId="38" fillId="0" borderId="0" xfId="0" applyFont="1" applyAlignment="1">
      <alignment horizontal="left" indent="2"/>
    </xf>
    <xf numFmtId="0" fontId="45" fillId="0" borderId="0" xfId="0" applyFont="1"/>
    <xf numFmtId="0" fontId="46" fillId="0" borderId="0" xfId="9" applyFont="1" applyFill="1"/>
    <xf numFmtId="0" fontId="47" fillId="0" borderId="0" xfId="0" applyFont="1"/>
    <xf numFmtId="174" fontId="9" fillId="0" borderId="0" xfId="3" applyNumberFormat="1"/>
    <xf numFmtId="0" fontId="48" fillId="0" borderId="0" xfId="0" applyFont="1"/>
    <xf numFmtId="0" fontId="43" fillId="0" borderId="0" xfId="0" applyFont="1"/>
    <xf numFmtId="0" fontId="4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0" xfId="0" applyFont="1" applyAlignment="1">
      <alignment vertical="top"/>
    </xf>
    <xf numFmtId="171" fontId="3" fillId="2" borderId="0" xfId="7" applyNumberFormat="1" applyFont="1" applyFill="1"/>
    <xf numFmtId="165" fontId="4" fillId="0" borderId="0" xfId="0" applyNumberFormat="1" applyFont="1" applyAlignment="1">
      <alignment vertical="top"/>
    </xf>
    <xf numFmtId="165" fontId="49" fillId="0" borderId="0" xfId="0" applyNumberFormat="1" applyFont="1" applyAlignment="1">
      <alignment vertical="top"/>
    </xf>
    <xf numFmtId="169" fontId="50" fillId="5" borderId="0" xfId="1" applyNumberFormat="1" applyFont="1" applyFill="1"/>
    <xf numFmtId="171" fontId="4" fillId="5" borderId="10" xfId="7" applyNumberFormat="1" applyFont="1" applyFill="1" applyBorder="1"/>
    <xf numFmtId="171" fontId="4" fillId="5" borderId="0" xfId="7" applyNumberFormat="1" applyFont="1" applyFill="1" applyBorder="1"/>
    <xf numFmtId="171" fontId="4" fillId="5" borderId="1" xfId="7" applyNumberFormat="1" applyFont="1" applyFill="1" applyBorder="1"/>
    <xf numFmtId="171" fontId="4" fillId="5" borderId="16" xfId="7" applyNumberFormat="1" applyFont="1" applyFill="1" applyBorder="1"/>
    <xf numFmtId="171" fontId="4" fillId="5" borderId="17" xfId="7" applyNumberFormat="1" applyFont="1" applyFill="1" applyBorder="1"/>
    <xf numFmtId="171" fontId="4" fillId="5" borderId="18" xfId="7" applyNumberFormat="1" applyFont="1" applyFill="1" applyBorder="1"/>
    <xf numFmtId="169" fontId="50" fillId="0" borderId="0" xfId="0" applyNumberFormat="1" applyFont="1"/>
    <xf numFmtId="172" fontId="50" fillId="0" borderId="0" xfId="2" applyNumberFormat="1" applyFont="1"/>
    <xf numFmtId="0" fontId="4" fillId="5" borderId="0" xfId="0" applyFont="1" applyFill="1"/>
    <xf numFmtId="169" fontId="2" fillId="5" borderId="0" xfId="1" applyNumberFormat="1" applyFont="1" applyFill="1"/>
    <xf numFmtId="169" fontId="2" fillId="0" borderId="3" xfId="1" applyNumberFormat="1" applyFont="1" applyFill="1" applyBorder="1" applyAlignment="1"/>
    <xf numFmtId="169" fontId="2" fillId="0" borderId="3" xfId="1" applyNumberFormat="1" applyFont="1" applyBorder="1"/>
    <xf numFmtId="171" fontId="51" fillId="0" borderId="0" xfId="0" applyNumberFormat="1" applyFont="1"/>
    <xf numFmtId="0" fontId="52" fillId="0" borderId="0" xfId="0" applyFont="1"/>
    <xf numFmtId="169" fontId="5" fillId="0" borderId="0" xfId="1" applyNumberFormat="1" applyFont="1"/>
    <xf numFmtId="1" fontId="4" fillId="0" borderId="0" xfId="0" applyNumberFormat="1" applyFont="1"/>
  </cellXfs>
  <cellStyles count="11">
    <cellStyle name="Comma" xfId="1" builtinId="3"/>
    <cellStyle name="Comma 2" xfId="5" xr:uid="{00000000-0005-0000-0000-000001000000}"/>
    <cellStyle name="Comma 3" xfId="7" xr:uid="{00000000-0005-0000-0000-000002000000}"/>
    <cellStyle name="Currency 2" xfId="4" xr:uid="{00000000-0005-0000-0000-000003000000}"/>
    <cellStyle name="Currency 3" xfId="10" xr:uid="{BFD78B83-9024-4493-95B1-92FC04B43EAE}"/>
    <cellStyle name="Hyperlink" xfId="9" builtinId="8"/>
    <cellStyle name="Normal" xfId="0" builtinId="0"/>
    <cellStyle name="Normal 2" xfId="3" xr:uid="{00000000-0005-0000-0000-000006000000}"/>
    <cellStyle name="Normal_BJH (Dec 2007)" xfId="6" xr:uid="{00000000-0005-0000-0000-000007000000}"/>
    <cellStyle name="Per cent" xfId="2" builtinId="5"/>
    <cellStyle name="Percent 2" xfId="8" xr:uid="{00000000-0005-0000-0000-000009000000}"/>
  </cellStyles>
  <dxfs count="0"/>
  <tableStyles count="0" defaultTableStyle="TableStyleMedium2" defaultPivotStyle="PivotStyleLight16"/>
  <colors>
    <mruColors>
      <color rgb="FF0C4E54"/>
      <color rgb="FF9CC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20</xdr:row>
      <xdr:rowOff>33618</xdr:rowOff>
    </xdr:from>
    <xdr:to>
      <xdr:col>2</xdr:col>
      <xdr:colOff>336177</xdr:colOff>
      <xdr:row>22</xdr:row>
      <xdr:rowOff>49967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73B11-FC08-4565-8BE6-86642991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29" y="3585883"/>
          <a:ext cx="1490383" cy="374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zoomScale="150" zoomScaleNormal="150" workbookViewId="0"/>
  </sheetViews>
  <sheetFormatPr baseColWidth="10" defaultColWidth="9.1640625" defaultRowHeight="14" x14ac:dyDescent="0.15"/>
  <cols>
    <col min="1" max="16384" width="9.1640625" style="243"/>
  </cols>
  <sheetData>
    <row r="1" spans="1:2" ht="28" x14ac:dyDescent="0.3">
      <c r="A1" s="282" t="s">
        <v>301</v>
      </c>
    </row>
    <row r="2" spans="1:2" ht="8.25" customHeight="1" x14ac:dyDescent="0.15"/>
    <row r="3" spans="1:2" x14ac:dyDescent="0.15">
      <c r="A3" s="281" t="s">
        <v>212</v>
      </c>
    </row>
    <row r="4" spans="1:2" x14ac:dyDescent="0.15">
      <c r="A4" s="281" t="s">
        <v>219</v>
      </c>
    </row>
    <row r="5" spans="1:2" x14ac:dyDescent="0.15">
      <c r="A5" s="283"/>
    </row>
    <row r="6" spans="1:2" x14ac:dyDescent="0.15">
      <c r="A6" s="281" t="s">
        <v>300</v>
      </c>
    </row>
    <row r="8" spans="1:2" x14ac:dyDescent="0.15">
      <c r="A8" s="284" t="s">
        <v>220</v>
      </c>
    </row>
    <row r="9" spans="1:2" x14ac:dyDescent="0.15">
      <c r="B9" s="285" t="s">
        <v>221</v>
      </c>
    </row>
    <row r="10" spans="1:2" x14ac:dyDescent="0.15">
      <c r="B10" s="285" t="s">
        <v>222</v>
      </c>
    </row>
    <row r="11" spans="1:2" x14ac:dyDescent="0.15">
      <c r="B11" s="285" t="s">
        <v>223</v>
      </c>
    </row>
    <row r="12" spans="1:2" x14ac:dyDescent="0.15">
      <c r="B12" s="285" t="s">
        <v>293</v>
      </c>
    </row>
    <row r="13" spans="1:2" x14ac:dyDescent="0.15">
      <c r="B13" s="285" t="s">
        <v>294</v>
      </c>
    </row>
    <row r="14" spans="1:2" x14ac:dyDescent="0.15">
      <c r="B14" s="285" t="s">
        <v>295</v>
      </c>
    </row>
    <row r="15" spans="1:2" x14ac:dyDescent="0.15">
      <c r="B15" s="285" t="s">
        <v>296</v>
      </c>
    </row>
    <row r="16" spans="1:2" x14ac:dyDescent="0.15">
      <c r="B16" s="285" t="s">
        <v>297</v>
      </c>
    </row>
    <row r="17" spans="1:2" x14ac:dyDescent="0.15">
      <c r="B17" s="285" t="s">
        <v>298</v>
      </c>
    </row>
    <row r="18" spans="1:2" x14ac:dyDescent="0.15">
      <c r="B18" s="285" t="s">
        <v>299</v>
      </c>
    </row>
    <row r="20" spans="1:2" ht="18" x14ac:dyDescent="0.2">
      <c r="A20" s="286" t="s">
        <v>224</v>
      </c>
    </row>
  </sheetData>
  <hyperlinks>
    <hyperlink ref="B9" location="IS!A1" display="Income Statements" xr:uid="{00000000-0004-0000-0000-000000000000}"/>
    <hyperlink ref="B10" location="BS!A1" display="Balance Sheet" xr:uid="{00000000-0004-0000-0000-000001000000}"/>
    <hyperlink ref="B11" location="CF!A1" display="Cash Flows" xr:uid="{00000000-0004-0000-0000-000002000000}"/>
    <hyperlink ref="B12" location="'Dep Capex '!A1" display="Depreciation Schedule" xr:uid="{00000000-0004-0000-0000-000003000000}"/>
    <hyperlink ref="B13" location="'Amort Intangible'!A1" display="Amortization Schedule" xr:uid="{00000000-0004-0000-0000-000004000000}"/>
    <hyperlink ref="B14" location="'Working Capital'!A1" display="Working Capital Schedule" xr:uid="{00000000-0004-0000-0000-000005000000}"/>
    <hyperlink ref="B15" location="'Other Long Term Asset Liability'!A1" display="Other Long Term Schedule" xr:uid="{00000000-0004-0000-0000-000006000000}"/>
    <hyperlink ref="B16" location="'Shareholders Equity'!A1" display="Shareholder's Equity Schedule" xr:uid="{00000000-0004-0000-0000-000007000000}"/>
    <hyperlink ref="B17" location="'Shares Outstanding '!A1" display="Shares Outstanding Schedule" xr:uid="{00000000-0004-0000-0000-000008000000}"/>
    <hyperlink ref="B18" location="Debt!A1" display="Debt Schedule" xr:uid="{00000000-0004-0000-0000-000009000000}"/>
  </hyperlink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2"/>
  <sheetViews>
    <sheetView showGridLines="0" zoomScale="150" zoomScaleNormal="150" workbookViewId="0">
      <pane xSplit="2" ySplit="5" topLeftCell="C8" activePane="bottomRight" state="frozen"/>
      <selection pane="topRight" activeCell="C1" sqref="C1"/>
      <selection pane="bottomLeft" activeCell="A6" sqref="A6"/>
      <selection pane="bottomRight" activeCell="G10" sqref="G10"/>
    </sheetView>
  </sheetViews>
  <sheetFormatPr baseColWidth="10" defaultColWidth="9.1640625" defaultRowHeight="14" x14ac:dyDescent="0.15"/>
  <cols>
    <col min="1" max="1" width="2.83203125" style="15" customWidth="1"/>
    <col min="2" max="2" width="48.5" style="15" customWidth="1"/>
    <col min="3" max="6" width="10" style="15" bestFit="1" customWidth="1"/>
    <col min="7" max="7" width="10.33203125" style="15" bestFit="1" customWidth="1"/>
    <col min="8" max="12" width="9.83203125" style="15" customWidth="1"/>
    <col min="13" max="16384" width="9.1640625" style="15"/>
  </cols>
  <sheetData>
    <row r="1" spans="1:16" ht="23" x14ac:dyDescent="0.25">
      <c r="A1" s="232" t="s">
        <v>0</v>
      </c>
      <c r="D1" s="281"/>
    </row>
    <row r="3" spans="1:16" ht="16" x14ac:dyDescent="0.2">
      <c r="A3" s="233" t="s">
        <v>16</v>
      </c>
    </row>
    <row r="4" spans="1:16" ht="16" x14ac:dyDescent="0.2">
      <c r="B4" s="23"/>
    </row>
    <row r="5" spans="1:16" ht="15" thickBot="1" x14ac:dyDescent="0.2">
      <c r="B5" s="1" t="s">
        <v>17</v>
      </c>
      <c r="C5" s="42">
        <v>42735</v>
      </c>
      <c r="D5" s="42">
        <f t="shared" ref="D5:G5" si="0">EOMONTH(C5,12)</f>
        <v>43100</v>
      </c>
      <c r="E5" s="42">
        <f t="shared" si="0"/>
        <v>43465</v>
      </c>
      <c r="F5" s="42">
        <f t="shared" si="0"/>
        <v>43830</v>
      </c>
      <c r="G5" s="42">
        <f t="shared" si="0"/>
        <v>44196</v>
      </c>
      <c r="H5" s="42">
        <f t="shared" ref="H5" si="1">EOMONTH(G5,12)</f>
        <v>44561</v>
      </c>
      <c r="I5" s="42">
        <f t="shared" ref="I5" si="2">EOMONTH(H5,12)</f>
        <v>44926</v>
      </c>
      <c r="J5" s="42">
        <f t="shared" ref="J5" si="3">EOMONTH(I5,12)</f>
        <v>45291</v>
      </c>
      <c r="K5" s="42">
        <f t="shared" ref="K5" si="4">EOMONTH(J5,12)</f>
        <v>45657</v>
      </c>
      <c r="L5" s="42">
        <f t="shared" ref="L5" si="5">EOMONTH(K5,12)</f>
        <v>46022</v>
      </c>
    </row>
    <row r="6" spans="1:16" x14ac:dyDescent="0.15">
      <c r="B6" s="2" t="s">
        <v>1</v>
      </c>
      <c r="C6" s="11">
        <v>15195</v>
      </c>
      <c r="D6" s="11">
        <v>15454</v>
      </c>
      <c r="E6" s="11">
        <v>15544</v>
      </c>
      <c r="F6" s="11">
        <v>15693</v>
      </c>
      <c r="G6" s="11">
        <v>16471</v>
      </c>
      <c r="H6" s="5">
        <f>H106</f>
        <v>17222.39</v>
      </c>
      <c r="I6" s="5">
        <f t="shared" ref="I6:L6" si="6">I106</f>
        <v>18035.8243</v>
      </c>
      <c r="J6" s="5">
        <f t="shared" si="6"/>
        <v>18916.991657000002</v>
      </c>
      <c r="K6" s="5">
        <f t="shared" si="6"/>
        <v>19872.116844070002</v>
      </c>
      <c r="L6" s="5">
        <f t="shared" si="6"/>
        <v>20908.011637772906</v>
      </c>
    </row>
    <row r="7" spans="1:16" x14ac:dyDescent="0.15">
      <c r="B7" s="2" t="s">
        <v>2</v>
      </c>
      <c r="C7" s="12">
        <v>6072</v>
      </c>
      <c r="D7" s="12">
        <v>6174</v>
      </c>
      <c r="E7" s="12">
        <v>6313</v>
      </c>
      <c r="F7" s="12">
        <v>6368</v>
      </c>
      <c r="G7" s="12">
        <v>6454</v>
      </c>
      <c r="H7" s="215">
        <f>H6*H32</f>
        <v>6888.9560000000001</v>
      </c>
      <c r="I7" s="215">
        <f t="shared" ref="I7:L7" si="7">I6*I32</f>
        <v>7214.3297200000006</v>
      </c>
      <c r="J7" s="215">
        <f t="shared" si="7"/>
        <v>7566.7966628000013</v>
      </c>
      <c r="K7" s="215">
        <f t="shared" si="7"/>
        <v>7948.8467376280014</v>
      </c>
      <c r="L7" s="215">
        <f t="shared" si="7"/>
        <v>8363.2046551091626</v>
      </c>
    </row>
    <row r="8" spans="1:16" x14ac:dyDescent="0.15">
      <c r="B8" s="3" t="s">
        <v>3</v>
      </c>
      <c r="C8" s="4">
        <f t="shared" ref="C8:G8" si="8">C6-C7</f>
        <v>9123</v>
      </c>
      <c r="D8" s="4">
        <f t="shared" si="8"/>
        <v>9280</v>
      </c>
      <c r="E8" s="4">
        <f t="shared" si="8"/>
        <v>9231</v>
      </c>
      <c r="F8" s="4">
        <f t="shared" si="8"/>
        <v>9325</v>
      </c>
      <c r="G8" s="4">
        <f t="shared" si="8"/>
        <v>10017</v>
      </c>
      <c r="H8" s="4">
        <f>H6-H7</f>
        <v>10333.433999999999</v>
      </c>
      <c r="I8" s="4">
        <f t="shared" ref="I8:L8" si="9">I6-I7</f>
        <v>10821.494579999999</v>
      </c>
      <c r="J8" s="4">
        <f t="shared" si="9"/>
        <v>11350.194994200001</v>
      </c>
      <c r="K8" s="4">
        <f t="shared" si="9"/>
        <v>11923.270106442</v>
      </c>
      <c r="L8" s="4">
        <f t="shared" si="9"/>
        <v>12544.806982663744</v>
      </c>
    </row>
    <row r="9" spans="1:16" x14ac:dyDescent="0.15">
      <c r="B9" s="2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6" x14ac:dyDescent="0.15">
      <c r="B10" s="2" t="s">
        <v>4</v>
      </c>
      <c r="C10" s="11">
        <v>5143</v>
      </c>
      <c r="D10" s="11">
        <v>5400</v>
      </c>
      <c r="E10" s="11">
        <v>5389</v>
      </c>
      <c r="F10" s="11">
        <v>5575</v>
      </c>
      <c r="G10" s="11">
        <v>6019</v>
      </c>
      <c r="H10" s="5">
        <f>H6*H35</f>
        <v>6200.0603999999994</v>
      </c>
      <c r="I10" s="5">
        <f t="shared" ref="I10:L10" si="10">I6*I35</f>
        <v>6492.8967480000001</v>
      </c>
      <c r="J10" s="5">
        <f t="shared" si="10"/>
        <v>6810.1169965200006</v>
      </c>
      <c r="K10" s="5">
        <f t="shared" si="10"/>
        <v>7153.9620638652004</v>
      </c>
      <c r="L10" s="5">
        <f t="shared" si="10"/>
        <v>7526.8841895982459</v>
      </c>
    </row>
    <row r="11" spans="1:16" x14ac:dyDescent="0.15">
      <c r="B11" s="2" t="s">
        <v>5</v>
      </c>
      <c r="C11" s="11">
        <v>25</v>
      </c>
      <c r="D11" s="11">
        <v>173</v>
      </c>
      <c r="E11" s="11">
        <v>148</v>
      </c>
      <c r="F11" s="11">
        <v>196</v>
      </c>
      <c r="G11" s="11">
        <v>113</v>
      </c>
      <c r="H11" s="5">
        <f>H6*H36</f>
        <v>172.22389999999999</v>
      </c>
      <c r="I11" s="5">
        <f t="shared" ref="I11:L11" si="11">I6*I36</f>
        <v>180.35824300000002</v>
      </c>
      <c r="J11" s="5">
        <f t="shared" si="11"/>
        <v>189.16991657000003</v>
      </c>
      <c r="K11" s="5">
        <f t="shared" si="11"/>
        <v>198.72116844070001</v>
      </c>
      <c r="L11" s="5">
        <f t="shared" si="11"/>
        <v>209.08011637772907</v>
      </c>
    </row>
    <row r="12" spans="1:16" x14ac:dyDescent="0.15">
      <c r="B12" s="16" t="s">
        <v>201</v>
      </c>
      <c r="C12" s="6">
        <f t="shared" ref="C12:G12" si="12">C8-C10-C11</f>
        <v>3955</v>
      </c>
      <c r="D12" s="6">
        <f t="shared" si="12"/>
        <v>3707</v>
      </c>
      <c r="E12" s="6">
        <f t="shared" si="12"/>
        <v>3694</v>
      </c>
      <c r="F12" s="6">
        <f t="shared" si="12"/>
        <v>3554</v>
      </c>
      <c r="G12" s="6">
        <f t="shared" si="12"/>
        <v>3885</v>
      </c>
      <c r="H12" s="6">
        <f>H8-(H10+H11)</f>
        <v>3961.1496999999999</v>
      </c>
      <c r="I12" s="6">
        <f t="shared" ref="I12:L12" si="13">I8-(I10+I11)</f>
        <v>4148.2395889999989</v>
      </c>
      <c r="J12" s="6">
        <f t="shared" si="13"/>
        <v>4350.9080811100002</v>
      </c>
      <c r="K12" s="6">
        <f t="shared" si="13"/>
        <v>4570.5868741360991</v>
      </c>
      <c r="L12" s="6">
        <f t="shared" si="13"/>
        <v>4808.8426766877692</v>
      </c>
    </row>
    <row r="13" spans="1:16" x14ac:dyDescent="0.15">
      <c r="B13" s="2" t="s">
        <v>225</v>
      </c>
      <c r="C13" s="266">
        <v>118</v>
      </c>
      <c r="D13" s="266">
        <v>118</v>
      </c>
      <c r="E13" s="266">
        <v>87</v>
      </c>
      <c r="F13" s="266">
        <v>108</v>
      </c>
      <c r="G13" s="266">
        <v>74</v>
      </c>
      <c r="H13" s="7">
        <f>H6*H38</f>
        <v>68.889560000000003</v>
      </c>
      <c r="I13" s="7">
        <f t="shared" ref="I13:L13" si="14">I6*I38</f>
        <v>72.143297200000006</v>
      </c>
      <c r="J13" s="7">
        <f t="shared" si="14"/>
        <v>75.667966628000016</v>
      </c>
      <c r="K13" s="7">
        <f t="shared" si="14"/>
        <v>79.488467376280013</v>
      </c>
      <c r="L13" s="7">
        <f t="shared" si="14"/>
        <v>83.632046551091634</v>
      </c>
    </row>
    <row r="14" spans="1:16" x14ac:dyDescent="0.15">
      <c r="B14" s="2" t="s">
        <v>7</v>
      </c>
      <c r="C14" s="12">
        <v>99</v>
      </c>
      <c r="D14" s="12">
        <v>102</v>
      </c>
      <c r="E14" s="12">
        <v>143</v>
      </c>
      <c r="F14" s="12">
        <v>145</v>
      </c>
      <c r="G14" s="12">
        <v>164</v>
      </c>
      <c r="H14" s="222">
        <f ca="1">Debt!H42-Debt!H47</f>
        <v>157.58851393937346</v>
      </c>
      <c r="I14" s="222">
        <f ca="1">Debt!I42-Debt!I47</f>
        <v>153.40183049276268</v>
      </c>
      <c r="J14" s="222">
        <f ca="1">Debt!J42-Debt!J47</f>
        <v>150.65458474613354</v>
      </c>
      <c r="K14" s="222">
        <f ca="1">Debt!K42-Debt!K47</f>
        <v>146.72034882716437</v>
      </c>
      <c r="L14" s="222">
        <f ca="1">Debt!L42-Debt!L47</f>
        <v>148.75671598927229</v>
      </c>
      <c r="P14" s="305"/>
    </row>
    <row r="15" spans="1:16" x14ac:dyDescent="0.15"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6" x14ac:dyDescent="0.15">
      <c r="B16" s="16" t="s">
        <v>202</v>
      </c>
      <c r="C16" s="5">
        <f>C12-C14-C13</f>
        <v>3738</v>
      </c>
      <c r="D16" s="5">
        <f t="shared" ref="D16:G16" si="15">D12-D14-D13</f>
        <v>3487</v>
      </c>
      <c r="E16" s="5">
        <f t="shared" si="15"/>
        <v>3464</v>
      </c>
      <c r="F16" s="5">
        <f t="shared" si="15"/>
        <v>3301</v>
      </c>
      <c r="G16" s="5">
        <f t="shared" si="15"/>
        <v>3647</v>
      </c>
      <c r="H16" s="306">
        <f ca="1">H12-H14-H13</f>
        <v>3734.6716260606263</v>
      </c>
      <c r="I16" s="5">
        <f t="shared" ref="I16:L16" ca="1" si="16">I12-I14-I13</f>
        <v>3922.6944613072365</v>
      </c>
      <c r="J16" s="306">
        <f t="shared" ca="1" si="16"/>
        <v>4124.5855297358667</v>
      </c>
      <c r="K16" s="5">
        <f t="shared" ca="1" si="16"/>
        <v>4344.3780579326549</v>
      </c>
      <c r="L16" s="5">
        <f t="shared" ca="1" si="16"/>
        <v>4576.4539141474052</v>
      </c>
    </row>
    <row r="17" spans="1:12" x14ac:dyDescent="0.15">
      <c r="B17" s="2" t="s">
        <v>9</v>
      </c>
      <c r="C17" s="11">
        <v>1152</v>
      </c>
      <c r="D17" s="11">
        <v>1313</v>
      </c>
      <c r="E17" s="11">
        <v>906</v>
      </c>
      <c r="F17" s="11">
        <v>774</v>
      </c>
      <c r="G17" s="11">
        <v>787</v>
      </c>
      <c r="H17" s="5">
        <f ca="1">H16*H47</f>
        <v>821.62775773333783</v>
      </c>
      <c r="I17" s="5">
        <f t="shared" ref="I17:L17" ca="1" si="17">I16*I47</f>
        <v>862.99278148759197</v>
      </c>
      <c r="J17" s="5">
        <f t="shared" ca="1" si="17"/>
        <v>907.4088165418907</v>
      </c>
      <c r="K17" s="5">
        <f t="shared" ca="1" si="17"/>
        <v>955.76317274518408</v>
      </c>
      <c r="L17" s="5">
        <f t="shared" ca="1" si="17"/>
        <v>1006.8198611124292</v>
      </c>
    </row>
    <row r="18" spans="1:12" x14ac:dyDescent="0.15">
      <c r="B18" s="3" t="s">
        <v>10</v>
      </c>
      <c r="C18" s="8">
        <f t="shared" ref="C18:G18" si="18">C16-C17</f>
        <v>2586</v>
      </c>
      <c r="D18" s="8">
        <f t="shared" si="18"/>
        <v>2174</v>
      </c>
      <c r="E18" s="8">
        <f t="shared" si="18"/>
        <v>2558</v>
      </c>
      <c r="F18" s="8">
        <f t="shared" si="18"/>
        <v>2527</v>
      </c>
      <c r="G18" s="8">
        <f t="shared" si="18"/>
        <v>2860</v>
      </c>
      <c r="H18" s="8">
        <f ca="1">H16-H17</f>
        <v>2913.0438683272887</v>
      </c>
      <c r="I18" s="8">
        <f t="shared" ref="I18:L18" ca="1" si="19">I16-I17</f>
        <v>3059.7016798196446</v>
      </c>
      <c r="J18" s="8">
        <f t="shared" ca="1" si="19"/>
        <v>3217.176713193976</v>
      </c>
      <c r="K18" s="8">
        <f t="shared" ca="1" si="19"/>
        <v>3388.6148851874709</v>
      </c>
      <c r="L18" s="8">
        <f t="shared" ca="1" si="19"/>
        <v>3569.6340530349762</v>
      </c>
    </row>
    <row r="19" spans="1:12" x14ac:dyDescent="0.15">
      <c r="B19" s="206" t="s">
        <v>11</v>
      </c>
      <c r="C19" s="14">
        <v>145</v>
      </c>
      <c r="D19" s="14">
        <v>150</v>
      </c>
      <c r="E19" s="14">
        <v>158</v>
      </c>
      <c r="F19" s="14">
        <v>160</v>
      </c>
      <c r="G19" s="14">
        <v>165</v>
      </c>
      <c r="H19" s="230">
        <f ca="1">H18*H44</f>
        <v>174.78263209963731</v>
      </c>
      <c r="I19" s="230">
        <f t="shared" ref="I19:L19" ca="1" si="20">I18*I44</f>
        <v>183.58210078917867</v>
      </c>
      <c r="J19" s="230">
        <f t="shared" ca="1" si="20"/>
        <v>193.03060279163856</v>
      </c>
      <c r="K19" s="230">
        <f t="shared" ca="1" si="20"/>
        <v>203.31689311124825</v>
      </c>
      <c r="L19" s="230">
        <f t="shared" ca="1" si="20"/>
        <v>214.17804318209858</v>
      </c>
    </row>
    <row r="20" spans="1:12" x14ac:dyDescent="0.15">
      <c r="B20" s="3" t="s">
        <v>12</v>
      </c>
      <c r="C20" s="5">
        <f t="shared" ref="C20:G20" si="21">C18-C19</f>
        <v>2441</v>
      </c>
      <c r="D20" s="5">
        <f t="shared" si="21"/>
        <v>2024</v>
      </c>
      <c r="E20" s="5">
        <f t="shared" si="21"/>
        <v>2400</v>
      </c>
      <c r="F20" s="5">
        <f t="shared" si="21"/>
        <v>2367</v>
      </c>
      <c r="G20" s="5">
        <f t="shared" si="21"/>
        <v>2695</v>
      </c>
      <c r="H20" s="5">
        <f ca="1">H18-H19</f>
        <v>2738.2612362276514</v>
      </c>
      <c r="I20" s="5">
        <f t="shared" ref="I20:L20" ca="1" si="22">I18-I19</f>
        <v>2876.119579030466</v>
      </c>
      <c r="J20" s="5">
        <f t="shared" ca="1" si="22"/>
        <v>3024.1461104023374</v>
      </c>
      <c r="K20" s="5">
        <f t="shared" ca="1" si="22"/>
        <v>3185.2979920762227</v>
      </c>
      <c r="L20" s="5">
        <f t="shared" ca="1" si="22"/>
        <v>3355.4560098528777</v>
      </c>
    </row>
    <row r="21" spans="1:12" x14ac:dyDescent="0.15">
      <c r="B21" s="2" t="s">
        <v>13</v>
      </c>
      <c r="C21" s="234">
        <v>2.74</v>
      </c>
      <c r="D21" s="234">
        <v>2.2999999999999998</v>
      </c>
      <c r="E21" s="234">
        <v>2.76</v>
      </c>
      <c r="F21" s="234">
        <v>2.76</v>
      </c>
      <c r="G21" s="234">
        <v>3.15</v>
      </c>
      <c r="H21" s="218">
        <f ca="1">H20/H24</f>
        <v>3.2542259645014093</v>
      </c>
      <c r="I21" s="218">
        <f t="shared" ref="I21:L21" ca="1" si="23">I20/I24</f>
        <v>3.465422312199582</v>
      </c>
      <c r="J21" s="218">
        <f t="shared" ca="1" si="23"/>
        <v>3.6949774419786383</v>
      </c>
      <c r="K21" s="218">
        <f t="shared" ca="1" si="23"/>
        <v>3.9473408854843579</v>
      </c>
      <c r="L21" s="218">
        <f t="shared" ca="1" si="23"/>
        <v>4.2183233955654691</v>
      </c>
    </row>
    <row r="22" spans="1:12" ht="15" thickBot="1" x14ac:dyDescent="0.2">
      <c r="B22" s="1" t="s">
        <v>14</v>
      </c>
      <c r="C22" s="235">
        <v>2.72</v>
      </c>
      <c r="D22" s="235">
        <v>2.2800000000000002</v>
      </c>
      <c r="E22" s="235">
        <v>2.75</v>
      </c>
      <c r="F22" s="235">
        <v>2.75</v>
      </c>
      <c r="G22" s="235">
        <v>3.14</v>
      </c>
      <c r="H22" s="219">
        <f ca="1">H20/H25</f>
        <v>3.2431130042282628</v>
      </c>
      <c r="I22" s="219">
        <f t="shared" ref="I22:L22" ca="1" si="24">I20/I25</f>
        <v>3.4534247205835977</v>
      </c>
      <c r="J22" s="219">
        <f t="shared" ca="1" si="24"/>
        <v>3.6820059967714389</v>
      </c>
      <c r="K22" s="219">
        <f t="shared" ca="1" si="24"/>
        <v>3.9332867212674261</v>
      </c>
      <c r="L22" s="219">
        <f t="shared" ca="1" si="24"/>
        <v>4.2030880725930473</v>
      </c>
    </row>
    <row r="23" spans="1:12" x14ac:dyDescent="0.15">
      <c r="B23" s="2"/>
      <c r="C23" s="236"/>
      <c r="D23" s="236"/>
      <c r="E23" s="236"/>
      <c r="F23" s="236"/>
      <c r="G23" s="236"/>
      <c r="H23" s="159"/>
    </row>
    <row r="24" spans="1:12" x14ac:dyDescent="0.15">
      <c r="B24" s="2" t="s">
        <v>156</v>
      </c>
      <c r="C24" s="170">
        <v>891.8</v>
      </c>
      <c r="D24" s="170">
        <v>881.1</v>
      </c>
      <c r="E24" s="170">
        <v>870.6</v>
      </c>
      <c r="F24" s="170">
        <v>859.1</v>
      </c>
      <c r="G24" s="170">
        <v>856.8</v>
      </c>
      <c r="H24" s="107">
        <f>'Shares Outstanding '!H11</f>
        <v>841.44778699999995</v>
      </c>
      <c r="I24" s="107">
        <f>'Shares Outstanding '!I11</f>
        <v>829.94778699999995</v>
      </c>
      <c r="J24" s="107">
        <f>'Shares Outstanding '!J11</f>
        <v>818.44778699999995</v>
      </c>
      <c r="K24" s="107">
        <f>'Shares Outstanding '!K11</f>
        <v>806.94778699999995</v>
      </c>
      <c r="L24" s="107">
        <f>'Shares Outstanding '!L11</f>
        <v>795.44778699999995</v>
      </c>
    </row>
    <row r="25" spans="1:12" x14ac:dyDescent="0.15">
      <c r="B25" s="2" t="s">
        <v>157</v>
      </c>
      <c r="C25" s="171">
        <f>C24+6.6</f>
        <v>898.4</v>
      </c>
      <c r="D25" s="171">
        <f>D24+6</f>
        <v>887.1</v>
      </c>
      <c r="E25" s="171">
        <f>E24+2.4</f>
        <v>873</v>
      </c>
      <c r="F25" s="171">
        <f>F24+2</f>
        <v>861.1</v>
      </c>
      <c r="G25" s="171">
        <f>G24+2.5</f>
        <v>859.3</v>
      </c>
      <c r="H25" s="107">
        <f>'Shares Outstanding '!H13</f>
        <v>844.33112033333327</v>
      </c>
      <c r="I25" s="107">
        <f>'Shares Outstanding '!I13</f>
        <v>832.83112033333327</v>
      </c>
      <c r="J25" s="107">
        <f>'Shares Outstanding '!J13</f>
        <v>821.33112033333327</v>
      </c>
      <c r="K25" s="107">
        <f>'Shares Outstanding '!K13</f>
        <v>809.83112033333327</v>
      </c>
      <c r="L25" s="107">
        <f>'Shares Outstanding '!L13</f>
        <v>798.33112033333327</v>
      </c>
    </row>
    <row r="26" spans="1:12" x14ac:dyDescent="0.15">
      <c r="B26" s="2"/>
      <c r="C26" s="237"/>
      <c r="D26" s="237"/>
      <c r="E26" s="237"/>
      <c r="F26" s="237"/>
      <c r="G26" s="237"/>
    </row>
    <row r="27" spans="1:12" x14ac:dyDescent="0.15">
      <c r="B27" s="16" t="s">
        <v>211</v>
      </c>
      <c r="C27" s="237"/>
      <c r="D27" s="237"/>
      <c r="E27" s="237"/>
      <c r="F27" s="237"/>
      <c r="G27" s="237"/>
    </row>
    <row r="28" spans="1:12" x14ac:dyDescent="0.15">
      <c r="B28" s="2"/>
    </row>
    <row r="29" spans="1:12" x14ac:dyDescent="0.15">
      <c r="B29" s="2" t="s">
        <v>15</v>
      </c>
    </row>
    <row r="30" spans="1:12" ht="15" thickBot="1" x14ac:dyDescent="0.2">
      <c r="A30" s="125" t="s">
        <v>18</v>
      </c>
      <c r="C30" s="9">
        <f t="shared" ref="C30:G30" si="25">C5</f>
        <v>42735</v>
      </c>
      <c r="D30" s="9">
        <f t="shared" si="25"/>
        <v>43100</v>
      </c>
      <c r="E30" s="9">
        <f t="shared" si="25"/>
        <v>43465</v>
      </c>
      <c r="F30" s="9">
        <f t="shared" si="25"/>
        <v>43830</v>
      </c>
      <c r="G30" s="9">
        <f t="shared" si="25"/>
        <v>44196</v>
      </c>
      <c r="H30" s="9">
        <f t="shared" ref="H30:L30" si="26">H5</f>
        <v>44561</v>
      </c>
      <c r="I30" s="9">
        <f t="shared" si="26"/>
        <v>44926</v>
      </c>
      <c r="J30" s="9">
        <f t="shared" si="26"/>
        <v>45291</v>
      </c>
      <c r="K30" s="9">
        <f t="shared" si="26"/>
        <v>45657</v>
      </c>
      <c r="L30" s="9">
        <f t="shared" si="26"/>
        <v>46022</v>
      </c>
    </row>
    <row r="31" spans="1:12" x14ac:dyDescent="0.15">
      <c r="B31" s="2" t="s">
        <v>1</v>
      </c>
      <c r="C31" s="17">
        <f t="shared" ref="C31:G31" si="27">C6/C$6</f>
        <v>1</v>
      </c>
      <c r="D31" s="17">
        <f t="shared" si="27"/>
        <v>1</v>
      </c>
      <c r="E31" s="17">
        <f t="shared" si="27"/>
        <v>1</v>
      </c>
      <c r="F31" s="17">
        <f t="shared" si="27"/>
        <v>1</v>
      </c>
      <c r="G31" s="17">
        <f t="shared" si="27"/>
        <v>1</v>
      </c>
      <c r="H31" s="17">
        <f>H6/H$6</f>
        <v>1</v>
      </c>
      <c r="I31" s="17">
        <f t="shared" ref="I31:L31" si="28">I6/I$6</f>
        <v>1</v>
      </c>
      <c r="J31" s="17">
        <f t="shared" si="28"/>
        <v>1</v>
      </c>
      <c r="K31" s="17">
        <f t="shared" si="28"/>
        <v>1</v>
      </c>
      <c r="L31" s="17">
        <f t="shared" si="28"/>
        <v>1</v>
      </c>
    </row>
    <row r="32" spans="1:12" x14ac:dyDescent="0.15">
      <c r="B32" s="2" t="s">
        <v>2</v>
      </c>
      <c r="C32" s="22">
        <f t="shared" ref="C32:G32" si="29">C7/C$6</f>
        <v>0.39960513326752223</v>
      </c>
      <c r="D32" s="22">
        <f t="shared" si="29"/>
        <v>0.39950821793710367</v>
      </c>
      <c r="E32" s="22">
        <f t="shared" si="29"/>
        <v>0.40613741636644363</v>
      </c>
      <c r="F32" s="22">
        <f t="shared" si="29"/>
        <v>0.40578601924424901</v>
      </c>
      <c r="G32" s="22">
        <f t="shared" si="29"/>
        <v>0.3918402039949001</v>
      </c>
      <c r="H32" s="212">
        <v>0.4</v>
      </c>
      <c r="I32" s="212">
        <v>0.4</v>
      </c>
      <c r="J32" s="212">
        <v>0.4</v>
      </c>
      <c r="K32" s="212">
        <v>0.4</v>
      </c>
      <c r="L32" s="212">
        <v>0.4</v>
      </c>
    </row>
    <row r="33" spans="2:13" x14ac:dyDescent="0.15">
      <c r="B33" s="238" t="s">
        <v>283</v>
      </c>
      <c r="C33" s="24">
        <f t="shared" ref="C33:F33" si="30">C8/C$6</f>
        <v>0.60039486673247777</v>
      </c>
      <c r="D33" s="24">
        <f t="shared" si="30"/>
        <v>0.60049178206289633</v>
      </c>
      <c r="E33" s="24">
        <f t="shared" si="30"/>
        <v>0.59386258363355637</v>
      </c>
      <c r="F33" s="24">
        <f t="shared" si="30"/>
        <v>0.59421398075575094</v>
      </c>
      <c r="G33" s="24">
        <f>G8/G$6</f>
        <v>0.60815979600509984</v>
      </c>
      <c r="H33" s="24">
        <f>H31-H32</f>
        <v>0.6</v>
      </c>
      <c r="I33" s="24">
        <f t="shared" ref="I33:L33" si="31">I31-I32</f>
        <v>0.6</v>
      </c>
      <c r="J33" s="24">
        <f t="shared" si="31"/>
        <v>0.6</v>
      </c>
      <c r="K33" s="24">
        <f t="shared" si="31"/>
        <v>0.6</v>
      </c>
      <c r="L33" s="24">
        <f t="shared" si="31"/>
        <v>0.6</v>
      </c>
    </row>
    <row r="34" spans="2:13" x14ac:dyDescent="0.15">
      <c r="B34" s="2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2:13" x14ac:dyDescent="0.15">
      <c r="B35" s="2" t="s">
        <v>4</v>
      </c>
      <c r="C35" s="17">
        <f t="shared" ref="C35:G35" si="32">C10/C$6</f>
        <v>0.33846660085554459</v>
      </c>
      <c r="D35" s="17">
        <f t="shared" si="32"/>
        <v>0.34942409732108193</v>
      </c>
      <c r="E35" s="17">
        <f t="shared" si="32"/>
        <v>0.3466932578486876</v>
      </c>
      <c r="F35" s="17">
        <f t="shared" si="32"/>
        <v>0.35525393487542217</v>
      </c>
      <c r="G35" s="17">
        <f t="shared" si="32"/>
        <v>0.36543014996053669</v>
      </c>
      <c r="H35" s="213">
        <v>0.36</v>
      </c>
      <c r="I35" s="213">
        <v>0.36</v>
      </c>
      <c r="J35" s="213">
        <v>0.36</v>
      </c>
      <c r="K35" s="213">
        <v>0.36</v>
      </c>
      <c r="L35" s="213">
        <v>0.36</v>
      </c>
    </row>
    <row r="36" spans="2:13" x14ac:dyDescent="0.15">
      <c r="B36" s="2" t="s">
        <v>5</v>
      </c>
      <c r="C36" s="17">
        <f t="shared" ref="C36:G36" si="33">C11/C$6</f>
        <v>1.6452780519907865E-3</v>
      </c>
      <c r="D36" s="17">
        <f t="shared" si="33"/>
        <v>1.1194512747508736E-2</v>
      </c>
      <c r="E36" s="17">
        <f t="shared" si="33"/>
        <v>9.5213587236232626E-3</v>
      </c>
      <c r="F36" s="17">
        <f t="shared" si="33"/>
        <v>1.2489645064678518E-2</v>
      </c>
      <c r="G36" s="17">
        <f t="shared" si="33"/>
        <v>6.8605427721449824E-3</v>
      </c>
      <c r="H36" s="213">
        <v>0.01</v>
      </c>
      <c r="I36" s="213">
        <v>0.01</v>
      </c>
      <c r="J36" s="213">
        <v>0.01</v>
      </c>
      <c r="K36" s="213">
        <v>0.01</v>
      </c>
      <c r="L36" s="213">
        <v>0.01</v>
      </c>
    </row>
    <row r="37" spans="2:13" x14ac:dyDescent="0.15">
      <c r="B37" s="16" t="s">
        <v>284</v>
      </c>
      <c r="C37" s="25">
        <f t="shared" ref="C37:G38" si="34">C12/C$6</f>
        <v>0.26028298782494241</v>
      </c>
      <c r="D37" s="25">
        <f t="shared" si="34"/>
        <v>0.23987317199430569</v>
      </c>
      <c r="E37" s="25">
        <f t="shared" si="34"/>
        <v>0.2376479670612455</v>
      </c>
      <c r="F37" s="25">
        <f t="shared" si="34"/>
        <v>0.22647040081565029</v>
      </c>
      <c r="G37" s="25">
        <f t="shared" si="34"/>
        <v>0.2358691032724182</v>
      </c>
      <c r="H37" s="25">
        <v>0.23</v>
      </c>
      <c r="I37" s="25">
        <v>0.23</v>
      </c>
      <c r="J37" s="25">
        <v>0.23</v>
      </c>
      <c r="K37" s="25">
        <v>0.23</v>
      </c>
      <c r="L37" s="25">
        <v>0.23</v>
      </c>
    </row>
    <row r="38" spans="2:13" x14ac:dyDescent="0.15">
      <c r="B38" s="2" t="s">
        <v>225</v>
      </c>
      <c r="C38" s="216"/>
      <c r="D38" s="216"/>
      <c r="E38" s="17">
        <f t="shared" si="34"/>
        <v>5.597014925373134E-3</v>
      </c>
      <c r="F38" s="17">
        <f t="shared" si="34"/>
        <v>6.8820493213534693E-3</v>
      </c>
      <c r="G38" s="17">
        <f t="shared" si="34"/>
        <v>4.4927448242365366E-3</v>
      </c>
      <c r="H38" s="217">
        <v>4.0000000000000001E-3</v>
      </c>
      <c r="I38" s="217">
        <v>4.0000000000000001E-3</v>
      </c>
      <c r="J38" s="217">
        <v>4.0000000000000001E-3</v>
      </c>
      <c r="K38" s="217">
        <v>4.0000000000000001E-3</v>
      </c>
      <c r="L38" s="217">
        <v>4.0000000000000001E-3</v>
      </c>
    </row>
    <row r="39" spans="2:13" x14ac:dyDescent="0.15">
      <c r="B39" s="2" t="s">
        <v>7</v>
      </c>
      <c r="C39" s="22">
        <f t="shared" ref="C39:G39" si="35">C14/C$6</f>
        <v>6.5153010858835141E-3</v>
      </c>
      <c r="D39" s="22">
        <f t="shared" si="35"/>
        <v>6.6002329493982138E-3</v>
      </c>
      <c r="E39" s="22">
        <f t="shared" si="35"/>
        <v>9.1996911991765306E-3</v>
      </c>
      <c r="F39" s="22">
        <f t="shared" si="35"/>
        <v>9.2397884407060468E-3</v>
      </c>
      <c r="G39" s="22">
        <f t="shared" si="35"/>
        <v>9.956893934794488E-3</v>
      </c>
      <c r="H39" s="22"/>
      <c r="I39" s="22"/>
      <c r="J39" s="22"/>
      <c r="K39" s="22"/>
      <c r="L39" s="22"/>
    </row>
    <row r="40" spans="2:13" x14ac:dyDescent="0.15">
      <c r="B40" s="2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2:13" x14ac:dyDescent="0.15">
      <c r="B41" s="2" t="s">
        <v>287</v>
      </c>
      <c r="C41" s="17">
        <f t="shared" ref="C41:L41" si="36">C16/C$6</f>
        <v>0.24600197433366239</v>
      </c>
      <c r="D41" s="17">
        <f t="shared" si="36"/>
        <v>0.22563737543678011</v>
      </c>
      <c r="E41" s="17">
        <f t="shared" si="36"/>
        <v>0.22285126093669583</v>
      </c>
      <c r="F41" s="17">
        <f t="shared" si="36"/>
        <v>0.21034856305359076</v>
      </c>
      <c r="G41" s="17">
        <f t="shared" si="36"/>
        <v>0.22141946451338718</v>
      </c>
      <c r="H41" s="17">
        <f t="shared" ca="1" si="36"/>
        <v>0.21684978833138877</v>
      </c>
      <c r="I41" s="17">
        <f t="shared" ca="1" si="36"/>
        <v>0.2174946038539107</v>
      </c>
      <c r="J41" s="17">
        <f t="shared" ca="1" si="36"/>
        <v>0.21803601780463935</v>
      </c>
      <c r="K41" s="17">
        <f t="shared" ca="1" si="36"/>
        <v>0.21861677304041477</v>
      </c>
      <c r="L41" s="17">
        <f t="shared" ca="1" si="36"/>
        <v>0.21888518111781971</v>
      </c>
    </row>
    <row r="42" spans="2:13" x14ac:dyDescent="0.15">
      <c r="B42" s="2" t="s">
        <v>9</v>
      </c>
      <c r="C42" s="17">
        <f t="shared" ref="C42:L42" si="37">C17/C$6</f>
        <v>7.5814412635735434E-2</v>
      </c>
      <c r="D42" s="17">
        <f t="shared" si="37"/>
        <v>8.4961822181959357E-2</v>
      </c>
      <c r="E42" s="17">
        <f t="shared" si="37"/>
        <v>5.8286155429747813E-2</v>
      </c>
      <c r="F42" s="17">
        <f t="shared" si="37"/>
        <v>4.9321353469699868E-2</v>
      </c>
      <c r="G42" s="17">
        <f t="shared" si="37"/>
        <v>4.778094833343452E-2</v>
      </c>
      <c r="H42" s="17">
        <f t="shared" ca="1" si="37"/>
        <v>4.7706953432905527E-2</v>
      </c>
      <c r="I42" s="17">
        <f t="shared" ca="1" si="37"/>
        <v>4.7848812847860356E-2</v>
      </c>
      <c r="J42" s="17">
        <f t="shared" ca="1" si="37"/>
        <v>4.7967923917020663E-2</v>
      </c>
      <c r="K42" s="17">
        <f t="shared" ca="1" si="37"/>
        <v>4.809569006889125E-2</v>
      </c>
      <c r="L42" s="17">
        <f t="shared" ca="1" si="37"/>
        <v>4.8154739845920343E-2</v>
      </c>
    </row>
    <row r="43" spans="2:13" x14ac:dyDescent="0.15">
      <c r="B43" s="3" t="s">
        <v>286</v>
      </c>
      <c r="C43" s="20">
        <f t="shared" ref="C43:L43" si="38">C18/C$6</f>
        <v>0.17018756169792695</v>
      </c>
      <c r="D43" s="20">
        <f t="shared" si="38"/>
        <v>0.14067555325482076</v>
      </c>
      <c r="E43" s="20">
        <f t="shared" si="38"/>
        <v>0.16456510550694803</v>
      </c>
      <c r="F43" s="20">
        <f t="shared" si="38"/>
        <v>0.16102720958389091</v>
      </c>
      <c r="G43" s="20">
        <f t="shared" si="38"/>
        <v>0.17363851617995266</v>
      </c>
      <c r="H43" s="20">
        <f t="shared" ca="1" si="38"/>
        <v>0.16914283489848325</v>
      </c>
      <c r="I43" s="20">
        <f t="shared" ca="1" si="38"/>
        <v>0.16964579100605037</v>
      </c>
      <c r="J43" s="20">
        <f t="shared" ca="1" si="38"/>
        <v>0.1700680938876187</v>
      </c>
      <c r="K43" s="20">
        <f t="shared" ca="1" si="38"/>
        <v>0.17052108297152352</v>
      </c>
      <c r="L43" s="20">
        <f t="shared" ca="1" si="38"/>
        <v>0.1707304412718994</v>
      </c>
    </row>
    <row r="44" spans="2:13" x14ac:dyDescent="0.15">
      <c r="B44" s="206" t="s">
        <v>204</v>
      </c>
      <c r="C44" s="22">
        <f t="shared" ref="C44:G44" si="39">C19/C$18</f>
        <v>5.6071152358855375E-2</v>
      </c>
      <c r="D44" s="22">
        <f t="shared" si="39"/>
        <v>6.8997240110395583E-2</v>
      </c>
      <c r="E44" s="22">
        <f t="shared" si="39"/>
        <v>6.1767005473025799E-2</v>
      </c>
      <c r="F44" s="22">
        <f t="shared" si="39"/>
        <v>6.331618519984171E-2</v>
      </c>
      <c r="G44" s="22">
        <f t="shared" si="39"/>
        <v>5.7692307692307696E-2</v>
      </c>
      <c r="H44" s="212">
        <v>0.06</v>
      </c>
      <c r="I44" s="212">
        <v>0.06</v>
      </c>
      <c r="J44" s="212">
        <v>0.06</v>
      </c>
      <c r="K44" s="212">
        <v>0.06</v>
      </c>
      <c r="L44" s="212">
        <v>0.06</v>
      </c>
    </row>
    <row r="45" spans="2:13" x14ac:dyDescent="0.15">
      <c r="B45" s="238" t="s">
        <v>285</v>
      </c>
      <c r="C45" s="26">
        <f t="shared" ref="C45:F45" si="40">C20/C$6</f>
        <v>0.16064494899638038</v>
      </c>
      <c r="D45" s="26">
        <f t="shared" si="40"/>
        <v>0.13096932832923516</v>
      </c>
      <c r="E45" s="26">
        <f t="shared" si="40"/>
        <v>0.15440041173443128</v>
      </c>
      <c r="F45" s="26">
        <f t="shared" si="40"/>
        <v>0.15083158095966354</v>
      </c>
      <c r="G45" s="26">
        <f>G20/G$6</f>
        <v>0.16362090947726307</v>
      </c>
      <c r="H45" s="26">
        <v>0.159</v>
      </c>
      <c r="I45" s="26">
        <v>0.159</v>
      </c>
      <c r="J45" s="26">
        <v>0.159</v>
      </c>
      <c r="K45" s="26">
        <v>0.159</v>
      </c>
      <c r="L45" s="26">
        <v>0.159</v>
      </c>
      <c r="M45" s="68"/>
    </row>
    <row r="47" spans="2:13" x14ac:dyDescent="0.15">
      <c r="B47" s="15" t="s">
        <v>203</v>
      </c>
      <c r="C47" s="138">
        <f t="shared" ref="C47:G47" si="41">C17/C16</f>
        <v>0.30818619582664525</v>
      </c>
      <c r="D47" s="138">
        <f t="shared" si="41"/>
        <v>0.3765414396329223</v>
      </c>
      <c r="E47" s="138">
        <f t="shared" si="41"/>
        <v>0.26154734411085451</v>
      </c>
      <c r="F47" s="138">
        <f t="shared" si="41"/>
        <v>0.23447440169645561</v>
      </c>
      <c r="G47" s="138">
        <f t="shared" si="41"/>
        <v>0.21579380312585686</v>
      </c>
      <c r="H47" s="214">
        <v>0.22</v>
      </c>
      <c r="I47" s="214">
        <v>0.22</v>
      </c>
      <c r="J47" s="214">
        <v>0.22</v>
      </c>
      <c r="K47" s="214">
        <v>0.22</v>
      </c>
      <c r="L47" s="214">
        <v>0.22</v>
      </c>
    </row>
    <row r="50" spans="1:12" ht="15" thickBot="1" x14ac:dyDescent="0.2">
      <c r="A50" s="125" t="s">
        <v>19</v>
      </c>
      <c r="C50" s="9">
        <f t="shared" ref="C50:G50" si="42">C30</f>
        <v>42735</v>
      </c>
      <c r="D50" s="9">
        <f t="shared" si="42"/>
        <v>43100</v>
      </c>
      <c r="E50" s="9">
        <f t="shared" si="42"/>
        <v>43465</v>
      </c>
      <c r="F50" s="9">
        <f t="shared" si="42"/>
        <v>43830</v>
      </c>
      <c r="G50" s="9">
        <f t="shared" si="42"/>
        <v>44196</v>
      </c>
      <c r="H50" s="9">
        <f t="shared" ref="H50:L50" si="43">H30</f>
        <v>44561</v>
      </c>
      <c r="I50" s="9">
        <f t="shared" si="43"/>
        <v>44926</v>
      </c>
      <c r="J50" s="9">
        <f t="shared" si="43"/>
        <v>45291</v>
      </c>
      <c r="K50" s="9">
        <f t="shared" si="43"/>
        <v>45657</v>
      </c>
      <c r="L50" s="9">
        <f t="shared" si="43"/>
        <v>46022</v>
      </c>
    </row>
    <row r="51" spans="1:12" x14ac:dyDescent="0.15">
      <c r="B51" s="2" t="s">
        <v>1</v>
      </c>
      <c r="C51" s="17"/>
      <c r="D51" s="17">
        <f t="shared" ref="D51:G53" si="44">D6/C6-1</f>
        <v>1.7045080618624642E-2</v>
      </c>
      <c r="E51" s="17">
        <f t="shared" si="44"/>
        <v>5.8237349553513784E-3</v>
      </c>
      <c r="F51" s="17">
        <f t="shared" si="44"/>
        <v>9.5856922285126878E-3</v>
      </c>
      <c r="G51" s="17">
        <f t="shared" si="44"/>
        <v>4.9576244185305596E-2</v>
      </c>
      <c r="H51" s="17">
        <f t="shared" ref="H51:H53" si="45">H6/G6-1</f>
        <v>4.5618966668690364E-2</v>
      </c>
      <c r="I51" s="17">
        <f t="shared" ref="I51:I53" si="46">I6/H6-1</f>
        <v>4.7231208908868005E-2</v>
      </c>
      <c r="J51" s="17">
        <f t="shared" ref="J51:J53" si="47">J6/I6-1</f>
        <v>4.8856505937463712E-2</v>
      </c>
      <c r="K51" s="17">
        <f t="shared" ref="K51:K53" si="48">K6/J6-1</f>
        <v>5.049033188723584E-2</v>
      </c>
      <c r="L51" s="17">
        <f t="shared" ref="L51:L53" si="49">L6/K6-1</f>
        <v>5.2128054692473391E-2</v>
      </c>
    </row>
    <row r="52" spans="1:12" x14ac:dyDescent="0.15">
      <c r="B52" s="2" t="s">
        <v>2</v>
      </c>
      <c r="C52" s="22"/>
      <c r="D52" s="22">
        <f t="shared" si="44"/>
        <v>1.679841897233203E-2</v>
      </c>
      <c r="E52" s="22">
        <f t="shared" si="44"/>
        <v>2.2513767411726615E-2</v>
      </c>
      <c r="F52" s="22">
        <f t="shared" si="44"/>
        <v>8.7121812133692522E-3</v>
      </c>
      <c r="G52" s="22">
        <f t="shared" si="44"/>
        <v>1.3505025125628123E-2</v>
      </c>
      <c r="H52" s="22">
        <f t="shared" si="45"/>
        <v>6.7393244499535099E-2</v>
      </c>
      <c r="I52" s="22">
        <f t="shared" si="46"/>
        <v>4.7231208908868227E-2</v>
      </c>
      <c r="J52" s="22">
        <f t="shared" si="47"/>
        <v>4.8856505937463712E-2</v>
      </c>
      <c r="K52" s="22">
        <f t="shared" si="48"/>
        <v>5.049033188723584E-2</v>
      </c>
      <c r="L52" s="22">
        <f t="shared" si="49"/>
        <v>5.2128054692473391E-2</v>
      </c>
    </row>
    <row r="53" spans="1:12" x14ac:dyDescent="0.15">
      <c r="B53" s="3" t="s">
        <v>3</v>
      </c>
      <c r="C53" s="18"/>
      <c r="D53" s="18">
        <f t="shared" si="44"/>
        <v>1.7209251342759968E-2</v>
      </c>
      <c r="E53" s="18">
        <f t="shared" si="44"/>
        <v>-5.2801724137930828E-3</v>
      </c>
      <c r="F53" s="18">
        <f t="shared" si="44"/>
        <v>1.0183078756364372E-2</v>
      </c>
      <c r="G53" s="18">
        <f t="shared" si="44"/>
        <v>7.4209115281501425E-2</v>
      </c>
      <c r="H53" s="18">
        <f t="shared" si="45"/>
        <v>3.1589697514225801E-2</v>
      </c>
      <c r="I53" s="18">
        <f t="shared" si="46"/>
        <v>4.7231208908868005E-2</v>
      </c>
      <c r="J53" s="18">
        <f t="shared" si="47"/>
        <v>4.8856505937463712E-2</v>
      </c>
      <c r="K53" s="18">
        <f t="shared" si="48"/>
        <v>5.0490331887235618E-2</v>
      </c>
      <c r="L53" s="18">
        <f t="shared" si="49"/>
        <v>5.2128054692473613E-2</v>
      </c>
    </row>
    <row r="54" spans="1:12" x14ac:dyDescent="0.15">
      <c r="B54" s="2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 x14ac:dyDescent="0.15">
      <c r="B55" s="2" t="s">
        <v>4</v>
      </c>
      <c r="C55" s="17"/>
      <c r="D55" s="17">
        <f t="shared" ref="D55:G57" si="50">D10/C10-1</f>
        <v>4.9970834143496123E-2</v>
      </c>
      <c r="E55" s="17">
        <f t="shared" si="50"/>
        <v>-2.0370370370370594E-3</v>
      </c>
      <c r="F55" s="17">
        <f t="shared" si="50"/>
        <v>3.4514752273149041E-2</v>
      </c>
      <c r="G55" s="17">
        <f t="shared" si="50"/>
        <v>7.9641255605381156E-2</v>
      </c>
      <c r="H55" s="17">
        <f t="shared" ref="H55:H57" si="51">H10/G10-1</f>
        <v>3.0081475328127549E-2</v>
      </c>
      <c r="I55" s="17">
        <f t="shared" ref="I55:I57" si="52">I10/H10-1</f>
        <v>4.7231208908868227E-2</v>
      </c>
      <c r="J55" s="17">
        <f t="shared" ref="J55:J57" si="53">J10/I10-1</f>
        <v>4.8856505937463712E-2</v>
      </c>
      <c r="K55" s="17">
        <f t="shared" ref="K55:K57" si="54">K10/J10-1</f>
        <v>5.049033188723584E-2</v>
      </c>
      <c r="L55" s="17">
        <f t="shared" ref="L55:L57" si="55">L10/K10-1</f>
        <v>5.2128054692473391E-2</v>
      </c>
    </row>
    <row r="56" spans="1:12" x14ac:dyDescent="0.15">
      <c r="B56" s="2" t="s">
        <v>5</v>
      </c>
      <c r="C56" s="17"/>
      <c r="D56" s="17">
        <f t="shared" si="50"/>
        <v>5.92</v>
      </c>
      <c r="E56" s="17">
        <f t="shared" si="50"/>
        <v>-0.1445086705202312</v>
      </c>
      <c r="F56" s="17">
        <f t="shared" si="50"/>
        <v>0.32432432432432434</v>
      </c>
      <c r="G56" s="17">
        <f t="shared" si="50"/>
        <v>-0.42346938775510201</v>
      </c>
      <c r="H56" s="17">
        <f t="shared" si="51"/>
        <v>0.52410530973451319</v>
      </c>
      <c r="I56" s="17">
        <f t="shared" si="52"/>
        <v>4.7231208908868227E-2</v>
      </c>
      <c r="J56" s="17">
        <f t="shared" si="53"/>
        <v>4.8856505937463712E-2</v>
      </c>
      <c r="K56" s="17">
        <f t="shared" si="54"/>
        <v>5.0490331887235618E-2</v>
      </c>
      <c r="L56" s="17">
        <f t="shared" si="55"/>
        <v>5.2128054692473613E-2</v>
      </c>
    </row>
    <row r="57" spans="1:12" x14ac:dyDescent="0.15">
      <c r="B57" s="2" t="s">
        <v>6</v>
      </c>
      <c r="C57" s="19"/>
      <c r="D57" s="19">
        <f t="shared" si="50"/>
        <v>-6.2705436156763605E-2</v>
      </c>
      <c r="E57" s="19">
        <f t="shared" si="50"/>
        <v>-3.5068788777987692E-3</v>
      </c>
      <c r="F57" s="19">
        <f t="shared" si="50"/>
        <v>-3.7899296155928575E-2</v>
      </c>
      <c r="G57" s="19">
        <f t="shared" si="50"/>
        <v>9.3134496342149653E-2</v>
      </c>
      <c r="H57" s="19">
        <f t="shared" si="51"/>
        <v>1.9600952380952386E-2</v>
      </c>
      <c r="I57" s="19">
        <f t="shared" si="52"/>
        <v>4.7231208908867783E-2</v>
      </c>
      <c r="J57" s="19">
        <f t="shared" si="53"/>
        <v>4.8856505937463934E-2</v>
      </c>
      <c r="K57" s="19">
        <f t="shared" si="54"/>
        <v>5.0490331887235618E-2</v>
      </c>
      <c r="L57" s="19">
        <f t="shared" si="55"/>
        <v>5.2128054692473835E-2</v>
      </c>
    </row>
    <row r="58" spans="1:12" x14ac:dyDescent="0.15">
      <c r="B58" s="2" t="s">
        <v>7</v>
      </c>
      <c r="C58" s="22"/>
      <c r="D58" s="22">
        <f t="shared" ref="D58" si="56">D14/C14-1</f>
        <v>3.0303030303030276E-2</v>
      </c>
      <c r="E58" s="22">
        <f t="shared" ref="E58" si="57">E14/D14-1</f>
        <v>0.40196078431372539</v>
      </c>
      <c r="F58" s="22">
        <f t="shared" ref="F58" si="58">F14/E14-1</f>
        <v>1.3986013986013957E-2</v>
      </c>
      <c r="G58" s="22">
        <f t="shared" ref="G58" si="59">G14/F14-1</f>
        <v>0.13103448275862073</v>
      </c>
      <c r="H58" s="22">
        <f t="shared" ref="H58" ca="1" si="60">H14/G14-1</f>
        <v>-3.9094427198942294E-2</v>
      </c>
      <c r="I58" s="22">
        <f t="shared" ref="I58" ca="1" si="61">I14/H14-1</f>
        <v>-2.6567186541408994E-2</v>
      </c>
      <c r="J58" s="22">
        <f t="shared" ref="J58" ca="1" si="62">J14/I14-1</f>
        <v>-1.7908819847875068E-2</v>
      </c>
      <c r="K58" s="22">
        <f t="shared" ref="K58" ca="1" si="63">K14/J14-1</f>
        <v>-2.6114279400117235E-2</v>
      </c>
      <c r="L58" s="22">
        <f t="shared" ref="L58" ca="1" si="64">L14/K14-1</f>
        <v>1.3879241552967825E-2</v>
      </c>
    </row>
    <row r="59" spans="1:12" x14ac:dyDescent="0.15">
      <c r="B59" s="2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1:12" x14ac:dyDescent="0.15">
      <c r="B60" s="2" t="s">
        <v>8</v>
      </c>
      <c r="C60" s="17"/>
      <c r="D60" s="17">
        <f t="shared" ref="D60:G60" si="65">D16/C16-1</f>
        <v>-6.7148207597645837E-2</v>
      </c>
      <c r="E60" s="17">
        <f t="shared" si="65"/>
        <v>-6.5959277315744691E-3</v>
      </c>
      <c r="F60" s="17">
        <f t="shared" si="65"/>
        <v>-4.7055427251732063E-2</v>
      </c>
      <c r="G60" s="17">
        <f t="shared" si="65"/>
        <v>0.1048167222053924</v>
      </c>
      <c r="H60" s="17">
        <f t="shared" ref="H60:H61" ca="1" si="66">H16/G16-1</f>
        <v>2.4039381974397145E-2</v>
      </c>
      <c r="I60" s="17">
        <f t="shared" ref="I60:I61" ca="1" si="67">I16/H16-1</f>
        <v>5.0345212129115247E-2</v>
      </c>
      <c r="J60" s="17">
        <f t="shared" ref="J60:J61" ca="1" si="68">J16/I16-1</f>
        <v>5.14674467818097E-2</v>
      </c>
      <c r="K60" s="17">
        <f t="shared" ref="K60:K61" ca="1" si="69">K16/J16-1</f>
        <v>5.3288391430414528E-2</v>
      </c>
      <c r="L60" s="17">
        <f t="shared" ref="L60:L61" ca="1" si="70">L16/K16-1</f>
        <v>5.3419811333175637E-2</v>
      </c>
    </row>
    <row r="61" spans="1:12" x14ac:dyDescent="0.15">
      <c r="B61" s="2" t="s">
        <v>9</v>
      </c>
      <c r="C61" s="17"/>
      <c r="D61" s="17">
        <f t="shared" ref="D61:G61" si="71">D17/C17-1</f>
        <v>0.13975694444444442</v>
      </c>
      <c r="E61" s="17">
        <f t="shared" si="71"/>
        <v>-0.30997715156131</v>
      </c>
      <c r="F61" s="17">
        <f t="shared" si="71"/>
        <v>-0.14569536423841056</v>
      </c>
      <c r="G61" s="17">
        <f t="shared" si="71"/>
        <v>1.6795865633074891E-2</v>
      </c>
      <c r="H61" s="17">
        <f t="shared" ca="1" si="66"/>
        <v>4.3999692164342852E-2</v>
      </c>
      <c r="I61" s="17">
        <f t="shared" ca="1" si="67"/>
        <v>5.0345212129115247E-2</v>
      </c>
      <c r="J61" s="17">
        <f t="shared" ca="1" si="68"/>
        <v>5.1467446781809922E-2</v>
      </c>
      <c r="K61" s="17">
        <f t="shared" ca="1" si="69"/>
        <v>5.3288391430414528E-2</v>
      </c>
      <c r="L61" s="17">
        <f t="shared" ca="1" si="70"/>
        <v>5.3419811333175637E-2</v>
      </c>
    </row>
    <row r="62" spans="1:12" x14ac:dyDescent="0.15">
      <c r="B62" s="3" t="s">
        <v>10</v>
      </c>
      <c r="C62" s="20"/>
      <c r="D62" s="20">
        <f t="shared" ref="D62:G62" si="72">D18/C18-1</f>
        <v>-0.15931941221964419</v>
      </c>
      <c r="E62" s="20">
        <f t="shared" si="72"/>
        <v>0.17663293468261276</v>
      </c>
      <c r="F62" s="20">
        <f t="shared" si="72"/>
        <v>-1.2118842845973421E-2</v>
      </c>
      <c r="G62" s="20">
        <f t="shared" si="72"/>
        <v>0.1317768104471706</v>
      </c>
      <c r="H62" s="20">
        <f t="shared" ref="H62" ca="1" si="73">H18/G18-1</f>
        <v>1.8546807107443497E-2</v>
      </c>
      <c r="I62" s="20">
        <f t="shared" ref="I62" ca="1" si="74">I18/H18-1</f>
        <v>5.0345212129115247E-2</v>
      </c>
      <c r="J62" s="20">
        <f t="shared" ref="J62" ca="1" si="75">J18/I18-1</f>
        <v>5.14674467818097E-2</v>
      </c>
      <c r="K62" s="20">
        <f t="shared" ref="K62" ca="1" si="76">K18/J18-1</f>
        <v>5.3288391430414528E-2</v>
      </c>
      <c r="L62" s="20">
        <f t="shared" ref="L62" ca="1" si="77">L18/K18-1</f>
        <v>5.3419811333175637E-2</v>
      </c>
    </row>
    <row r="63" spans="1:12" x14ac:dyDescent="0.15">
      <c r="B63" s="206" t="s">
        <v>11</v>
      </c>
      <c r="C63" s="22"/>
      <c r="D63" s="22">
        <f t="shared" ref="D63:G63" si="78">D19/C19-1</f>
        <v>3.4482758620689724E-2</v>
      </c>
      <c r="E63" s="22">
        <f t="shared" si="78"/>
        <v>5.3333333333333233E-2</v>
      </c>
      <c r="F63" s="22">
        <f t="shared" si="78"/>
        <v>1.2658227848101333E-2</v>
      </c>
      <c r="G63" s="22">
        <f t="shared" si="78"/>
        <v>3.125E-2</v>
      </c>
      <c r="H63" s="22">
        <f t="shared" ref="H63" ca="1" si="79">H19/G19-1</f>
        <v>5.9288679391741317E-2</v>
      </c>
      <c r="I63" s="22">
        <f t="shared" ref="I63" ca="1" si="80">I19/H19-1</f>
        <v>5.0345212129115247E-2</v>
      </c>
      <c r="J63" s="22">
        <f t="shared" ref="J63" ca="1" si="81">J19/I19-1</f>
        <v>5.14674467818097E-2</v>
      </c>
      <c r="K63" s="22">
        <f t="shared" ref="K63" ca="1" si="82">K19/J19-1</f>
        <v>5.3288391430414528E-2</v>
      </c>
      <c r="L63" s="22">
        <f t="shared" ref="L63" ca="1" si="83">L19/K19-1</f>
        <v>5.3419811333175637E-2</v>
      </c>
    </row>
    <row r="64" spans="1:12" x14ac:dyDescent="0.15">
      <c r="B64" s="238" t="s">
        <v>12</v>
      </c>
      <c r="C64" s="21"/>
      <c r="D64" s="21">
        <f t="shared" ref="D64:G64" si="84">D20/C20-1</f>
        <v>-0.17083162638263005</v>
      </c>
      <c r="E64" s="21">
        <f t="shared" si="84"/>
        <v>0.18577075098814233</v>
      </c>
      <c r="F64" s="21">
        <f t="shared" si="84"/>
        <v>-1.375000000000004E-2</v>
      </c>
      <c r="G64" s="21">
        <f t="shared" si="84"/>
        <v>0.13857203210815383</v>
      </c>
      <c r="H64" s="21">
        <f t="shared" ref="H64" ca="1" si="85">H20/G20-1</f>
        <v>1.6052406763507054E-2</v>
      </c>
      <c r="I64" s="21">
        <f t="shared" ref="I64" ca="1" si="86">I20/H20-1</f>
        <v>5.0345212129115247E-2</v>
      </c>
      <c r="J64" s="21">
        <f t="shared" ref="J64" ca="1" si="87">J20/I20-1</f>
        <v>5.14674467818097E-2</v>
      </c>
      <c r="K64" s="21">
        <f t="shared" ref="K64" ca="1" si="88">K20/J20-1</f>
        <v>5.3288391430414528E-2</v>
      </c>
      <c r="L64" s="21">
        <f t="shared" ref="L64" ca="1" si="89">L20/K20-1</f>
        <v>5.3419811333175637E-2</v>
      </c>
    </row>
    <row r="67" spans="2:12" x14ac:dyDescent="0.15">
      <c r="B67" s="192" t="s">
        <v>266</v>
      </c>
      <c r="C67" s="202">
        <f>C5</f>
        <v>42735</v>
      </c>
      <c r="D67" s="202">
        <f t="shared" ref="D67:K67" si="90">D5</f>
        <v>43100</v>
      </c>
      <c r="E67" s="202">
        <f t="shared" si="90"/>
        <v>43465</v>
      </c>
      <c r="F67" s="202">
        <f t="shared" si="90"/>
        <v>43830</v>
      </c>
      <c r="G67" s="202">
        <f t="shared" si="90"/>
        <v>44196</v>
      </c>
      <c r="H67" s="202">
        <f t="shared" si="90"/>
        <v>44561</v>
      </c>
      <c r="I67" s="202">
        <f t="shared" si="90"/>
        <v>44926</v>
      </c>
      <c r="J67" s="202">
        <f t="shared" si="90"/>
        <v>45291</v>
      </c>
      <c r="K67" s="202">
        <f t="shared" si="90"/>
        <v>45657</v>
      </c>
      <c r="L67" s="202">
        <f>L5</f>
        <v>46022</v>
      </c>
    </row>
    <row r="68" spans="2:12" x14ac:dyDescent="0.15">
      <c r="B68" s="15" t="s">
        <v>234</v>
      </c>
      <c r="C68" s="51">
        <f>C6</f>
        <v>15195</v>
      </c>
      <c r="D68" s="51">
        <f t="shared" ref="D68:G68" si="91">D6</f>
        <v>15454</v>
      </c>
      <c r="E68" s="51">
        <f t="shared" si="91"/>
        <v>15544</v>
      </c>
      <c r="F68" s="51">
        <f t="shared" si="91"/>
        <v>15693</v>
      </c>
      <c r="G68" s="51">
        <f t="shared" si="91"/>
        <v>16471</v>
      </c>
      <c r="H68" s="303">
        <f>H6</f>
        <v>17222.39</v>
      </c>
      <c r="I68" s="303">
        <f t="shared" ref="I68:L68" si="92">I6</f>
        <v>18035.8243</v>
      </c>
      <c r="J68" s="303">
        <f t="shared" si="92"/>
        <v>18916.991657000002</v>
      </c>
      <c r="K68" s="303">
        <f t="shared" si="92"/>
        <v>19872.116844070002</v>
      </c>
      <c r="L68" s="303">
        <f t="shared" si="92"/>
        <v>20908.011637772906</v>
      </c>
    </row>
    <row r="69" spans="2:12" x14ac:dyDescent="0.15">
      <c r="B69" s="15" t="s">
        <v>267</v>
      </c>
      <c r="C69" s="51">
        <f>C20</f>
        <v>2441</v>
      </c>
      <c r="D69" s="51">
        <f t="shared" ref="D69:L69" si="93">D20</f>
        <v>2024</v>
      </c>
      <c r="E69" s="51">
        <f t="shared" si="93"/>
        <v>2400</v>
      </c>
      <c r="F69" s="51">
        <f t="shared" si="93"/>
        <v>2367</v>
      </c>
      <c r="G69" s="51">
        <f t="shared" si="93"/>
        <v>2695</v>
      </c>
      <c r="H69" s="51">
        <f t="shared" ca="1" si="93"/>
        <v>2738.2612362276514</v>
      </c>
      <c r="I69" s="51">
        <f t="shared" ca="1" si="93"/>
        <v>2876.119579030466</v>
      </c>
      <c r="J69" s="51">
        <f t="shared" ca="1" si="93"/>
        <v>3024.1461104023374</v>
      </c>
      <c r="K69" s="51">
        <f t="shared" ca="1" si="93"/>
        <v>3185.2979920762227</v>
      </c>
      <c r="L69" s="51">
        <f t="shared" ca="1" si="93"/>
        <v>3355.4560098528777</v>
      </c>
    </row>
    <row r="70" spans="2:12" x14ac:dyDescent="0.15">
      <c r="C70" s="15">
        <v>2016</v>
      </c>
      <c r="D70" s="15">
        <f>C70+1</f>
        <v>2017</v>
      </c>
      <c r="E70" s="15">
        <f t="shared" ref="E70:L70" si="94">D70+1</f>
        <v>2018</v>
      </c>
      <c r="F70" s="15">
        <f t="shared" si="94"/>
        <v>2019</v>
      </c>
      <c r="G70" s="15">
        <f t="shared" si="94"/>
        <v>2020</v>
      </c>
      <c r="H70" s="15">
        <f t="shared" si="94"/>
        <v>2021</v>
      </c>
      <c r="I70" s="15">
        <f t="shared" si="94"/>
        <v>2022</v>
      </c>
      <c r="J70" s="15">
        <f t="shared" si="94"/>
        <v>2023</v>
      </c>
      <c r="K70" s="15">
        <f t="shared" si="94"/>
        <v>2024</v>
      </c>
      <c r="L70" s="15">
        <f t="shared" si="94"/>
        <v>2025</v>
      </c>
    </row>
    <row r="71" spans="2:12" x14ac:dyDescent="0.15">
      <c r="B71" s="15" t="s">
        <v>234</v>
      </c>
      <c r="C71" s="138">
        <f>C68/$C$68</f>
        <v>1</v>
      </c>
      <c r="D71" s="138">
        <f t="shared" ref="D71:L71" si="95">D68/$C$68</f>
        <v>1.0170450806186246</v>
      </c>
      <c r="E71" s="138">
        <f t="shared" si="95"/>
        <v>1.0229680816057913</v>
      </c>
      <c r="F71" s="138">
        <f t="shared" si="95"/>
        <v>1.0327739387956565</v>
      </c>
      <c r="G71" s="138">
        <f t="shared" si="95"/>
        <v>1.0839749917736097</v>
      </c>
      <c r="H71" s="304">
        <f t="shared" si="95"/>
        <v>1.133424810793024</v>
      </c>
      <c r="I71" s="304">
        <f t="shared" si="95"/>
        <v>1.1869578348140837</v>
      </c>
      <c r="J71" s="304">
        <f t="shared" si="95"/>
        <v>1.2449484473181969</v>
      </c>
      <c r="K71" s="304">
        <f t="shared" si="95"/>
        <v>1.3078063076057915</v>
      </c>
      <c r="L71" s="304">
        <f t="shared" si="95"/>
        <v>1.3759797063358279</v>
      </c>
    </row>
    <row r="72" spans="2:12" x14ac:dyDescent="0.15">
      <c r="B72" s="15" t="s">
        <v>267</v>
      </c>
      <c r="C72" s="138">
        <f>C69/$C$69</f>
        <v>1</v>
      </c>
      <c r="D72" s="138">
        <f t="shared" ref="D72:L72" si="96">D69/$C$69</f>
        <v>0.82916837361736995</v>
      </c>
      <c r="E72" s="138">
        <f t="shared" si="96"/>
        <v>0.98320360507988525</v>
      </c>
      <c r="F72" s="138">
        <f t="shared" si="96"/>
        <v>0.96968455551003685</v>
      </c>
      <c r="G72" s="138">
        <f t="shared" si="96"/>
        <v>1.1040557148709544</v>
      </c>
      <c r="H72" s="138">
        <f t="shared" ca="1" si="96"/>
        <v>1.1217784662956376</v>
      </c>
      <c r="I72" s="138">
        <f t="shared" ca="1" si="96"/>
        <v>1.1782546411431651</v>
      </c>
      <c r="J72" s="138">
        <f t="shared" ca="1" si="96"/>
        <v>1.2388963991816213</v>
      </c>
      <c r="K72" s="138">
        <f t="shared" ca="1" si="96"/>
        <v>1.3049151954429425</v>
      </c>
      <c r="L72" s="138">
        <f t="shared" ca="1" si="96"/>
        <v>1.3746235189892986</v>
      </c>
    </row>
    <row r="75" spans="2:12" x14ac:dyDescent="0.15">
      <c r="B75" s="192" t="s">
        <v>268</v>
      </c>
      <c r="C75" s="202">
        <f>C67</f>
        <v>42735</v>
      </c>
      <c r="D75" s="202">
        <f t="shared" ref="D75:K75" si="97">D67</f>
        <v>43100</v>
      </c>
      <c r="E75" s="202">
        <f t="shared" si="97"/>
        <v>43465</v>
      </c>
      <c r="F75" s="202">
        <f t="shared" si="97"/>
        <v>43830</v>
      </c>
      <c r="G75" s="202">
        <f t="shared" si="97"/>
        <v>44196</v>
      </c>
      <c r="H75" s="202">
        <f t="shared" si="97"/>
        <v>44561</v>
      </c>
      <c r="I75" s="202">
        <f t="shared" si="97"/>
        <v>44926</v>
      </c>
      <c r="J75" s="202">
        <f t="shared" si="97"/>
        <v>45291</v>
      </c>
      <c r="K75" s="202">
        <f t="shared" si="97"/>
        <v>45657</v>
      </c>
      <c r="L75" s="202">
        <f t="shared" ref="L75" si="98">L67</f>
        <v>46022</v>
      </c>
    </row>
    <row r="76" spans="2:12" x14ac:dyDescent="0.15">
      <c r="B76" s="15" t="s">
        <v>289</v>
      </c>
      <c r="D76" s="138">
        <f>D6/C6-1</f>
        <v>1.7045080618624642E-2</v>
      </c>
      <c r="E76" s="138">
        <f t="shared" ref="E76:G76" si="99">E6/D6-1</f>
        <v>5.8237349553513784E-3</v>
      </c>
      <c r="F76" s="138">
        <f t="shared" si="99"/>
        <v>9.5856922285126878E-3</v>
      </c>
      <c r="G76" s="138">
        <f t="shared" si="99"/>
        <v>4.9576244185305596E-2</v>
      </c>
      <c r="H76" s="138">
        <f>H6/G6-1</f>
        <v>4.5618966668690364E-2</v>
      </c>
      <c r="I76" s="138">
        <f t="shared" ref="I76:L76" si="100">I6/H6-1</f>
        <v>4.7231208908868005E-2</v>
      </c>
      <c r="J76" s="138">
        <f t="shared" si="100"/>
        <v>4.8856505937463712E-2</v>
      </c>
      <c r="K76" s="138">
        <f t="shared" si="100"/>
        <v>5.049033188723584E-2</v>
      </c>
      <c r="L76" s="138">
        <f t="shared" si="100"/>
        <v>5.2128054692473391E-2</v>
      </c>
    </row>
    <row r="77" spans="2:12" x14ac:dyDescent="0.15">
      <c r="B77" s="15" t="s">
        <v>290</v>
      </c>
      <c r="D77" s="138">
        <f>D12/C12-1</f>
        <v>-6.2705436156763605E-2</v>
      </c>
      <c r="E77" s="138">
        <f t="shared" ref="E77:G77" si="101">E12/D12-1</f>
        <v>-3.5068788777987692E-3</v>
      </c>
      <c r="F77" s="138">
        <f t="shared" si="101"/>
        <v>-3.7899296155928575E-2</v>
      </c>
      <c r="G77" s="138">
        <f t="shared" si="101"/>
        <v>9.3134496342149653E-2</v>
      </c>
      <c r="H77" s="138">
        <f t="shared" ref="H77" si="102">H12/G12-1</f>
        <v>1.9600952380952386E-2</v>
      </c>
      <c r="I77" s="138">
        <f t="shared" ref="I77" si="103">I12/H12-1</f>
        <v>4.7231208908867783E-2</v>
      </c>
      <c r="J77" s="138">
        <f t="shared" ref="J77" si="104">J12/I12-1</f>
        <v>4.8856505937463934E-2</v>
      </c>
      <c r="K77" s="138">
        <f t="shared" ref="K77" si="105">K12/J12-1</f>
        <v>5.0490331887235618E-2</v>
      </c>
      <c r="L77" s="138">
        <f t="shared" ref="L77" si="106">L12/K12-1</f>
        <v>5.2128054692473835E-2</v>
      </c>
    </row>
    <row r="78" spans="2:12" x14ac:dyDescent="0.15">
      <c r="B78" s="15" t="s">
        <v>291</v>
      </c>
      <c r="D78" s="138">
        <f>D20/C20-1</f>
        <v>-0.17083162638263005</v>
      </c>
      <c r="E78" s="138">
        <f t="shared" ref="E78:G78" si="107">E20/D20-1</f>
        <v>0.18577075098814233</v>
      </c>
      <c r="F78" s="138">
        <f t="shared" si="107"/>
        <v>-1.375000000000004E-2</v>
      </c>
      <c r="G78" s="138">
        <f t="shared" si="107"/>
        <v>0.13857203210815383</v>
      </c>
      <c r="H78" s="138">
        <f t="shared" ref="H78" ca="1" si="108">H20/G20-1</f>
        <v>1.6052406763507054E-2</v>
      </c>
      <c r="I78" s="138">
        <f t="shared" ref="I78" ca="1" si="109">I20/H20-1</f>
        <v>5.0345212129115247E-2</v>
      </c>
      <c r="J78" s="138">
        <f t="shared" ref="J78" ca="1" si="110">J20/I20-1</f>
        <v>5.14674467818097E-2</v>
      </c>
      <c r="K78" s="138">
        <f t="shared" ref="K78" ca="1" si="111">K20/J20-1</f>
        <v>5.3288391430414528E-2</v>
      </c>
      <c r="L78" s="138">
        <f t="shared" ref="L78" ca="1" si="112">L20/K20-1</f>
        <v>5.3419811333175637E-2</v>
      </c>
    </row>
    <row r="80" spans="2:12" x14ac:dyDescent="0.15">
      <c r="B80" s="15" t="s">
        <v>269</v>
      </c>
      <c r="D80" s="203">
        <f>D78/D76</f>
        <v>-10.022341941637256</v>
      </c>
      <c r="E80" s="203">
        <f t="shared" ref="E80:F80" si="113">E78/E76</f>
        <v>31.89890206411939</v>
      </c>
      <c r="F80" s="203">
        <f t="shared" si="113"/>
        <v>-1.4344295302013348</v>
      </c>
      <c r="G80" s="203">
        <f>G78/G76</f>
        <v>2.7951296913537997</v>
      </c>
      <c r="H80" s="203">
        <f t="shared" ref="H80:L80" ca="1" si="114">H78/H76</f>
        <v>0.35188010460842578</v>
      </c>
      <c r="I80" s="203">
        <f t="shared" ca="1" si="114"/>
        <v>1.0659310505105992</v>
      </c>
      <c r="J80" s="203">
        <f t="shared" ca="1" si="114"/>
        <v>1.0534410063562054</v>
      </c>
      <c r="K80" s="203">
        <f t="shared" ca="1" si="114"/>
        <v>1.0554177292680076</v>
      </c>
      <c r="L80" s="203">
        <f t="shared" ca="1" si="114"/>
        <v>1.0247804497659254</v>
      </c>
    </row>
    <row r="81" spans="2:12" x14ac:dyDescent="0.15">
      <c r="B81" s="15" t="s">
        <v>270</v>
      </c>
      <c r="D81" s="203">
        <f>D77/D76</f>
        <v>-3.6787996231738136</v>
      </c>
      <c r="E81" s="203">
        <f t="shared" ref="E81:L82" si="115">E77/E76</f>
        <v>-0.60217006863891176</v>
      </c>
      <c r="F81" s="203">
        <f t="shared" si="115"/>
        <v>-3.9537359694479797</v>
      </c>
      <c r="G81" s="203">
        <f>G77/G76</f>
        <v>1.8786113767318164</v>
      </c>
      <c r="H81" s="203">
        <f t="shared" ref="H81:L81" si="116">H77/H76</f>
        <v>0.42966673321000703</v>
      </c>
      <c r="I81" s="203">
        <f t="shared" si="116"/>
        <v>0.99999999999999534</v>
      </c>
      <c r="J81" s="203">
        <f t="shared" si="116"/>
        <v>1.0000000000000044</v>
      </c>
      <c r="K81" s="203">
        <f t="shared" si="116"/>
        <v>0.99999999999999556</v>
      </c>
      <c r="L81" s="203">
        <f t="shared" si="116"/>
        <v>1.0000000000000084</v>
      </c>
    </row>
    <row r="82" spans="2:12" x14ac:dyDescent="0.15">
      <c r="B82" s="15" t="s">
        <v>253</v>
      </c>
      <c r="D82" s="203">
        <f>D78/D77</f>
        <v>2.724351138481055</v>
      </c>
      <c r="E82" s="203">
        <f t="shared" si="115"/>
        <v>-52.973244147157047</v>
      </c>
      <c r="F82" s="203">
        <f t="shared" si="115"/>
        <v>0.36280357142857206</v>
      </c>
      <c r="G82" s="203">
        <f t="shared" si="115"/>
        <v>1.4878700970162504</v>
      </c>
      <c r="H82" s="203">
        <f t="shared" ca="1" si="115"/>
        <v>0.81896055107538035</v>
      </c>
      <c r="I82" s="203">
        <f t="shared" ca="1" si="115"/>
        <v>1.0659310505106043</v>
      </c>
      <c r="J82" s="203">
        <f t="shared" ca="1" si="115"/>
        <v>1.0534410063562007</v>
      </c>
      <c r="K82" s="203">
        <f t="shared" ca="1" si="115"/>
        <v>1.0554177292680123</v>
      </c>
      <c r="L82" s="203">
        <f t="shared" ca="1" si="115"/>
        <v>1.0247804497659165</v>
      </c>
    </row>
    <row r="84" spans="2:12" x14ac:dyDescent="0.15">
      <c r="B84" s="239" t="s">
        <v>191</v>
      </c>
      <c r="C84" s="290"/>
      <c r="D84" s="290"/>
      <c r="E84" s="290"/>
      <c r="F84" s="290"/>
      <c r="G84" s="291"/>
      <c r="H84" s="292"/>
      <c r="I84" s="292"/>
      <c r="J84" s="292"/>
      <c r="K84" s="292"/>
      <c r="L84" s="292"/>
    </row>
    <row r="85" spans="2:12" x14ac:dyDescent="0.15">
      <c r="B85" s="127" t="s">
        <v>199</v>
      </c>
      <c r="C85" s="131"/>
      <c r="D85" s="131">
        <v>3117</v>
      </c>
      <c r="E85" s="131">
        <v>3348</v>
      </c>
      <c r="F85" s="131">
        <v>3424</v>
      </c>
      <c r="G85" s="131">
        <v>3741</v>
      </c>
      <c r="H85" s="211">
        <f>G85*(1+H86)</f>
        <v>4077.6900000000005</v>
      </c>
      <c r="I85" s="211">
        <f t="shared" ref="I85:L85" si="117">H85*(1+I86)</f>
        <v>4444.6821000000009</v>
      </c>
      <c r="J85" s="211">
        <f t="shared" si="117"/>
        <v>4844.7034890000014</v>
      </c>
      <c r="K85" s="211">
        <f t="shared" si="117"/>
        <v>5280.7268030100022</v>
      </c>
      <c r="L85" s="211">
        <f t="shared" si="117"/>
        <v>5755.9922152809031</v>
      </c>
    </row>
    <row r="86" spans="2:12" x14ac:dyDescent="0.15">
      <c r="B86" s="136" t="s">
        <v>200</v>
      </c>
      <c r="C86" s="132"/>
      <c r="D86" s="132"/>
      <c r="E86" s="132">
        <f t="shared" ref="E86" si="118">E85/D85-1</f>
        <v>7.4109720885466857E-2</v>
      </c>
      <c r="F86" s="132">
        <f t="shared" ref="F86" si="119">F85/E85-1</f>
        <v>2.2700119474313052E-2</v>
      </c>
      <c r="G86" s="132">
        <f t="shared" ref="G86" si="120">G85/F85-1</f>
        <v>9.2581775700934621E-2</v>
      </c>
      <c r="H86" s="210">
        <v>0.09</v>
      </c>
      <c r="I86" s="210">
        <v>0.09</v>
      </c>
      <c r="J86" s="210">
        <v>0.09</v>
      </c>
      <c r="K86" s="210">
        <v>0.09</v>
      </c>
      <c r="L86" s="210">
        <v>0.09</v>
      </c>
    </row>
    <row r="87" spans="2:12" x14ac:dyDescent="0.15">
      <c r="B87" s="127"/>
      <c r="C87" s="131"/>
      <c r="D87" s="131"/>
      <c r="E87" s="131"/>
      <c r="F87" s="131"/>
      <c r="G87" s="131"/>
      <c r="H87" s="131"/>
      <c r="I87" s="131"/>
      <c r="J87" s="131"/>
      <c r="K87" s="131"/>
      <c r="L87" s="131"/>
    </row>
    <row r="88" spans="2:12" x14ac:dyDescent="0.15">
      <c r="B88" s="127" t="s">
        <v>192</v>
      </c>
      <c r="C88" s="133"/>
      <c r="D88" s="133">
        <v>3887</v>
      </c>
      <c r="E88" s="133">
        <v>3605</v>
      </c>
      <c r="F88" s="133">
        <v>3606</v>
      </c>
      <c r="G88" s="133">
        <v>3418</v>
      </c>
      <c r="H88" s="294">
        <f>G88*(1+H89)</f>
        <v>3452.18</v>
      </c>
      <c r="I88" s="294">
        <f t="shared" ref="I88:L88" si="121">H88*(1+I89)</f>
        <v>3486.7017999999998</v>
      </c>
      <c r="J88" s="294">
        <f t="shared" si="121"/>
        <v>3521.5688179999997</v>
      </c>
      <c r="K88" s="294">
        <f t="shared" si="121"/>
        <v>3556.7845061799999</v>
      </c>
      <c r="L88" s="294">
        <f t="shared" si="121"/>
        <v>3592.3523512418001</v>
      </c>
    </row>
    <row r="89" spans="2:12" x14ac:dyDescent="0.15">
      <c r="B89" s="136" t="s">
        <v>200</v>
      </c>
      <c r="C89" s="132"/>
      <c r="D89" s="132"/>
      <c r="E89" s="132">
        <f t="shared" ref="E89" si="122">E88/D88-1</f>
        <v>-7.2549524054540737E-2</v>
      </c>
      <c r="F89" s="132">
        <f t="shared" ref="F89" si="123">F88/E88-1</f>
        <v>2.7739251040226343E-4</v>
      </c>
      <c r="G89" s="132">
        <f t="shared" ref="G89" si="124">G88/F88-1</f>
        <v>-5.2135330005546265E-2</v>
      </c>
      <c r="H89" s="210">
        <v>0.01</v>
      </c>
      <c r="I89" s="210">
        <v>0.01</v>
      </c>
      <c r="J89" s="210">
        <v>0.01</v>
      </c>
      <c r="K89" s="210">
        <v>0.01</v>
      </c>
      <c r="L89" s="210">
        <v>0.01</v>
      </c>
    </row>
    <row r="90" spans="2:12" x14ac:dyDescent="0.15">
      <c r="B90" s="127"/>
      <c r="C90" s="133"/>
      <c r="D90" s="133"/>
      <c r="E90" s="133"/>
      <c r="F90" s="133"/>
      <c r="G90" s="133"/>
      <c r="H90" s="133"/>
      <c r="I90" s="133"/>
      <c r="J90" s="133"/>
      <c r="K90" s="133"/>
      <c r="L90" s="133"/>
    </row>
    <row r="91" spans="2:12" x14ac:dyDescent="0.15">
      <c r="B91" s="127" t="s">
        <v>193</v>
      </c>
      <c r="C91" s="133"/>
      <c r="D91" s="133">
        <v>2394</v>
      </c>
      <c r="E91" s="133">
        <v>2502</v>
      </c>
      <c r="F91" s="133">
        <v>2450</v>
      </c>
      <c r="G91" s="133">
        <v>2747</v>
      </c>
      <c r="H91" s="294">
        <f t="shared" ref="H91:L91" si="125">G91*(1+H92)</f>
        <v>2829.41</v>
      </c>
      <c r="I91" s="294">
        <f t="shared" si="125"/>
        <v>2914.2923000000001</v>
      </c>
      <c r="J91" s="294">
        <f t="shared" si="125"/>
        <v>3001.7210690000002</v>
      </c>
      <c r="K91" s="294">
        <f t="shared" si="125"/>
        <v>3091.77270107</v>
      </c>
      <c r="L91" s="294">
        <f t="shared" si="125"/>
        <v>3184.5258821021002</v>
      </c>
    </row>
    <row r="92" spans="2:12" x14ac:dyDescent="0.15">
      <c r="B92" s="136" t="s">
        <v>200</v>
      </c>
      <c r="C92" s="132"/>
      <c r="D92" s="132"/>
      <c r="E92" s="132">
        <f t="shared" ref="E92" si="126">E91/D91-1</f>
        <v>4.5112781954887327E-2</v>
      </c>
      <c r="F92" s="132">
        <f t="shared" ref="F92" si="127">F91/E91-1</f>
        <v>-2.0783373301358932E-2</v>
      </c>
      <c r="G92" s="132">
        <f t="shared" ref="G92" si="128">G91/F91-1</f>
        <v>0.12122448979591827</v>
      </c>
      <c r="H92" s="210">
        <v>0.03</v>
      </c>
      <c r="I92" s="210">
        <v>0.03</v>
      </c>
      <c r="J92" s="210">
        <v>0.03</v>
      </c>
      <c r="K92" s="210">
        <v>0.03</v>
      </c>
      <c r="L92" s="210">
        <v>0.03</v>
      </c>
    </row>
    <row r="93" spans="2:12" x14ac:dyDescent="0.15">
      <c r="B93" s="127"/>
      <c r="C93" s="133"/>
      <c r="D93" s="133"/>
      <c r="E93" s="133"/>
      <c r="F93" s="133"/>
      <c r="G93" s="133"/>
      <c r="H93" s="133"/>
      <c r="I93" s="133"/>
      <c r="J93" s="133"/>
      <c r="K93" s="133"/>
      <c r="L93" s="133"/>
    </row>
    <row r="94" spans="2:12" x14ac:dyDescent="0.15">
      <c r="B94" s="127" t="s">
        <v>194</v>
      </c>
      <c r="C94" s="133"/>
      <c r="D94" s="133">
        <v>2781</v>
      </c>
      <c r="E94" s="133">
        <v>2734</v>
      </c>
      <c r="F94" s="133">
        <v>2707</v>
      </c>
      <c r="G94" s="133">
        <v>2701</v>
      </c>
      <c r="H94" s="295">
        <f>G94*(1+H95)</f>
        <v>2701</v>
      </c>
      <c r="I94" s="295">
        <f t="shared" ref="I94:L94" si="129">H94*(1+I95)</f>
        <v>2701</v>
      </c>
      <c r="J94" s="295">
        <f t="shared" si="129"/>
        <v>2701</v>
      </c>
      <c r="K94" s="295">
        <f t="shared" si="129"/>
        <v>2701</v>
      </c>
      <c r="L94" s="295">
        <f t="shared" si="129"/>
        <v>2701</v>
      </c>
    </row>
    <row r="95" spans="2:12" x14ac:dyDescent="0.15">
      <c r="B95" s="136" t="s">
        <v>200</v>
      </c>
      <c r="C95" s="132"/>
      <c r="D95" s="132"/>
      <c r="E95" s="132">
        <f t="shared" ref="E95" si="130">E94/D94-1</f>
        <v>-1.6900395541172286E-2</v>
      </c>
      <c r="F95" s="132">
        <f t="shared" ref="F95" si="131">F94/E94-1</f>
        <v>-9.8756400877835215E-3</v>
      </c>
      <c r="G95" s="132">
        <f t="shared" ref="G95" si="132">G94/F94-1</f>
        <v>-2.2164758034725063E-3</v>
      </c>
      <c r="H95" s="210">
        <v>0</v>
      </c>
      <c r="I95" s="210">
        <v>0</v>
      </c>
      <c r="J95" s="210">
        <v>0</v>
      </c>
      <c r="K95" s="210">
        <v>0</v>
      </c>
      <c r="L95" s="210">
        <v>0</v>
      </c>
    </row>
    <row r="96" spans="2:12" x14ac:dyDescent="0.15">
      <c r="B96" s="127"/>
      <c r="C96" s="133"/>
      <c r="D96" s="133"/>
      <c r="E96" s="133"/>
      <c r="F96" s="133"/>
      <c r="G96" s="133"/>
      <c r="H96" s="133"/>
      <c r="I96" s="133"/>
      <c r="J96" s="133"/>
      <c r="K96" s="133"/>
      <c r="L96" s="133"/>
    </row>
    <row r="97" spans="1:12" x14ac:dyDescent="0.15">
      <c r="B97" s="127" t="s">
        <v>195</v>
      </c>
      <c r="C97" s="133"/>
      <c r="D97" s="133">
        <v>983</v>
      </c>
      <c r="E97" s="133">
        <v>967</v>
      </c>
      <c r="F97" s="133">
        <v>981</v>
      </c>
      <c r="G97" s="133">
        <v>981</v>
      </c>
      <c r="H97" s="134">
        <f>G97*(1+H98)</f>
        <v>990.81000000000006</v>
      </c>
      <c r="I97" s="134">
        <f t="shared" ref="I97:L97" si="133">H97*(1+I98)</f>
        <v>1000.7181</v>
      </c>
      <c r="J97" s="134">
        <f t="shared" si="133"/>
        <v>1010.7252810000001</v>
      </c>
      <c r="K97" s="134">
        <f t="shared" si="133"/>
        <v>1020.8325338100001</v>
      </c>
      <c r="L97" s="134">
        <f t="shared" si="133"/>
        <v>1031.0408591481</v>
      </c>
    </row>
    <row r="98" spans="1:12" x14ac:dyDescent="0.15">
      <c r="B98" s="136" t="s">
        <v>200</v>
      </c>
      <c r="C98" s="132"/>
      <c r="D98" s="132"/>
      <c r="E98" s="132">
        <f t="shared" ref="E98" si="134">E97/D97-1</f>
        <v>-1.6276703967446626E-2</v>
      </c>
      <c r="F98" s="132">
        <f t="shared" ref="F98" si="135">F97/E97-1</f>
        <v>1.4477766287487093E-2</v>
      </c>
      <c r="G98" s="132">
        <f t="shared" ref="G98" si="136">G97/F97-1</f>
        <v>0</v>
      </c>
      <c r="H98" s="210">
        <v>0.01</v>
      </c>
      <c r="I98" s="210">
        <v>0.01</v>
      </c>
      <c r="J98" s="210">
        <v>0.01</v>
      </c>
      <c r="K98" s="210">
        <v>0.01</v>
      </c>
      <c r="L98" s="210">
        <v>0.01</v>
      </c>
    </row>
    <row r="99" spans="1:12" x14ac:dyDescent="0.15">
      <c r="B99" s="127"/>
      <c r="C99" s="133"/>
      <c r="D99" s="133"/>
      <c r="E99" s="133"/>
      <c r="F99" s="133"/>
      <c r="G99" s="133"/>
      <c r="H99" s="133"/>
      <c r="I99" s="133"/>
      <c r="J99" s="133"/>
      <c r="K99" s="133"/>
      <c r="L99" s="133"/>
    </row>
    <row r="100" spans="1:12" x14ac:dyDescent="0.15">
      <c r="B100" s="240" t="s">
        <v>196</v>
      </c>
      <c r="C100" s="241">
        <f t="shared" ref="C100" si="137">SUM(C85:C97)</f>
        <v>0</v>
      </c>
      <c r="D100" s="241">
        <f>D85+D88+D91+D94+D97</f>
        <v>13162</v>
      </c>
      <c r="E100" s="241">
        <f>E85+E88+E91+E94+E97</f>
        <v>13156</v>
      </c>
      <c r="F100" s="241">
        <f>F85+F88+F91+F94+F97</f>
        <v>13168</v>
      </c>
      <c r="G100" s="241">
        <f>G85+G88+G91+G94+G97</f>
        <v>13588</v>
      </c>
      <c r="H100" s="241">
        <f>(H97+H94+H91+H88+H85)</f>
        <v>14051.09</v>
      </c>
      <c r="I100" s="241">
        <f t="shared" ref="I100:L100" si="138">(I97+I94+I91+I88+I85)</f>
        <v>14547.3943</v>
      </c>
      <c r="J100" s="241">
        <f t="shared" si="138"/>
        <v>15079.718657000001</v>
      </c>
      <c r="K100" s="241">
        <f t="shared" si="138"/>
        <v>15651.116544070002</v>
      </c>
      <c r="L100" s="241">
        <f t="shared" si="138"/>
        <v>16264.911307772903</v>
      </c>
    </row>
    <row r="101" spans="1:12" x14ac:dyDescent="0.15">
      <c r="B101" s="126"/>
      <c r="C101" s="132"/>
      <c r="D101" s="132"/>
      <c r="E101" s="132">
        <f t="shared" ref="E101" si="139">E100/D100-1</f>
        <v>-4.5585777237500125E-4</v>
      </c>
      <c r="F101" s="132">
        <f t="shared" ref="F101" si="140">F100/E100-1</f>
        <v>9.1213134691403575E-4</v>
      </c>
      <c r="G101" s="132">
        <f t="shared" ref="G101" si="141">G100/F100-1</f>
        <v>3.1895504252733797E-2</v>
      </c>
      <c r="H101" s="132">
        <f>H100/G100-1</f>
        <v>3.4080806594053659E-2</v>
      </c>
      <c r="I101" s="132">
        <f t="shared" ref="I101:L101" si="142">I100/H100-1</f>
        <v>3.5321409228750156E-2</v>
      </c>
      <c r="J101" s="132">
        <f t="shared" si="142"/>
        <v>3.6592419647276664E-2</v>
      </c>
      <c r="K101" s="132">
        <f t="shared" si="142"/>
        <v>3.7891813505735339E-2</v>
      </c>
      <c r="L101" s="132">
        <f t="shared" si="142"/>
        <v>3.9217314750330745E-2</v>
      </c>
    </row>
    <row r="102" spans="1:12" x14ac:dyDescent="0.15">
      <c r="B102" s="126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</row>
    <row r="103" spans="1:12" x14ac:dyDescent="0.15">
      <c r="B103" s="242" t="s">
        <v>198</v>
      </c>
      <c r="C103" s="133"/>
      <c r="D103" s="133">
        <v>2292</v>
      </c>
      <c r="E103" s="133">
        <v>2388</v>
      </c>
      <c r="F103" s="133">
        <v>2525</v>
      </c>
      <c r="G103" s="133">
        <v>2883</v>
      </c>
      <c r="H103" s="134">
        <f>G103*(1+H104)</f>
        <v>3171.3</v>
      </c>
      <c r="I103" s="134">
        <f t="shared" ref="I103:L103" si="143">H103*(1+I104)</f>
        <v>3488.4300000000003</v>
      </c>
      <c r="J103" s="134">
        <f t="shared" si="143"/>
        <v>3837.2730000000006</v>
      </c>
      <c r="K103" s="134">
        <f t="shared" si="143"/>
        <v>4221.0003000000006</v>
      </c>
      <c r="L103" s="134">
        <f t="shared" si="143"/>
        <v>4643.1003300000011</v>
      </c>
    </row>
    <row r="104" spans="1:12" x14ac:dyDescent="0.15">
      <c r="B104" s="136" t="s">
        <v>200</v>
      </c>
      <c r="C104" s="132"/>
      <c r="D104" s="132"/>
      <c r="E104" s="132">
        <f t="shared" ref="E104" si="144">E103/D103-1</f>
        <v>4.1884816753926746E-2</v>
      </c>
      <c r="F104" s="132">
        <f t="shared" ref="F104" si="145">F103/E103-1</f>
        <v>5.7370184254606382E-2</v>
      </c>
      <c r="G104" s="132">
        <f t="shared" ref="G104" si="146">G103/F103-1</f>
        <v>0.14178217821782169</v>
      </c>
      <c r="H104" s="210">
        <v>0.1</v>
      </c>
      <c r="I104" s="210">
        <v>0.1</v>
      </c>
      <c r="J104" s="210">
        <v>0.1</v>
      </c>
      <c r="K104" s="210">
        <v>0.1</v>
      </c>
      <c r="L104" s="210">
        <v>0.1</v>
      </c>
    </row>
    <row r="105" spans="1:12" x14ac:dyDescent="0.15">
      <c r="B105" s="128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</row>
    <row r="106" spans="1:12" ht="15" thickBot="1" x14ac:dyDescent="0.2">
      <c r="B106" s="129" t="s">
        <v>197</v>
      </c>
      <c r="C106" s="135">
        <f t="shared" ref="C106:G106" si="147">C100+C103</f>
        <v>0</v>
      </c>
      <c r="D106" s="135">
        <f t="shared" si="147"/>
        <v>15454</v>
      </c>
      <c r="E106" s="135">
        <f t="shared" si="147"/>
        <v>15544</v>
      </c>
      <c r="F106" s="135">
        <f t="shared" si="147"/>
        <v>15693</v>
      </c>
      <c r="G106" s="135">
        <f t="shared" si="147"/>
        <v>16471</v>
      </c>
      <c r="H106" s="135">
        <f>H103+H100</f>
        <v>17222.39</v>
      </c>
      <c r="I106" s="135">
        <f t="shared" ref="I106:L106" si="148">I103+I100</f>
        <v>18035.8243</v>
      </c>
      <c r="J106" s="135">
        <f t="shared" si="148"/>
        <v>18916.991657000002</v>
      </c>
      <c r="K106" s="135">
        <f t="shared" si="148"/>
        <v>19872.116844070002</v>
      </c>
      <c r="L106" s="135">
        <f t="shared" si="148"/>
        <v>20908.011637772906</v>
      </c>
    </row>
    <row r="107" spans="1:12" ht="15" thickTop="1" x14ac:dyDescent="0.15"/>
    <row r="108" spans="1:12" x14ac:dyDescent="0.15">
      <c r="A108" s="284"/>
      <c r="B108" s="243"/>
      <c r="C108" s="243"/>
      <c r="D108" s="243"/>
      <c r="E108" s="243"/>
      <c r="F108" s="243"/>
      <c r="G108" s="243"/>
    </row>
    <row r="109" spans="1:12" ht="16" x14ac:dyDescent="0.2">
      <c r="A109" s="288"/>
      <c r="B109" s="243"/>
      <c r="C109" s="243"/>
      <c r="D109" s="243"/>
      <c r="E109" s="243"/>
      <c r="F109" s="243"/>
      <c r="G109" s="243"/>
    </row>
    <row r="110" spans="1:12" x14ac:dyDescent="0.15">
      <c r="A110" s="243"/>
      <c r="B110" s="243"/>
      <c r="C110" s="243"/>
      <c r="D110" s="243"/>
      <c r="E110" s="243"/>
      <c r="F110" s="243"/>
      <c r="G110" s="243"/>
    </row>
    <row r="111" spans="1:12" x14ac:dyDescent="0.15">
      <c r="A111" s="243"/>
      <c r="B111" s="243"/>
      <c r="C111" s="243"/>
      <c r="D111" s="243"/>
      <c r="E111" s="243"/>
      <c r="F111" s="243"/>
      <c r="G111" s="243"/>
    </row>
    <row r="112" spans="1:12" x14ac:dyDescent="0.15">
      <c r="A112" s="243"/>
      <c r="B112" s="243"/>
      <c r="C112" s="243"/>
      <c r="D112" s="243"/>
      <c r="E112" s="243"/>
      <c r="F112" s="243"/>
      <c r="G112" s="24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7"/>
  <sheetViews>
    <sheetView showGridLines="0" zoomScale="150" zoomScaleNormal="150" workbookViewId="0">
      <pane xSplit="2" ySplit="5" topLeftCell="C145" activePane="bottomRight" state="frozen"/>
      <selection pane="topRight" activeCell="C1" sqref="C1"/>
      <selection pane="bottomLeft" activeCell="A6" sqref="A6"/>
      <selection pane="bottomRight" activeCell="E145" sqref="E145"/>
    </sheetView>
  </sheetViews>
  <sheetFormatPr baseColWidth="10" defaultColWidth="9.1640625" defaultRowHeight="14" x14ac:dyDescent="0.15"/>
  <cols>
    <col min="1" max="1" width="2.6640625" style="15" customWidth="1"/>
    <col min="2" max="2" width="38.6640625" style="15" customWidth="1"/>
    <col min="3" max="4" width="11.5" style="15" customWidth="1"/>
    <col min="5" max="5" width="12.33203125" style="15" customWidth="1"/>
    <col min="6" max="7" width="12.33203125" style="15" bestFit="1" customWidth="1"/>
    <col min="8" max="12" width="12.33203125" style="15" customWidth="1"/>
    <col min="13" max="16384" width="9.1640625" style="15"/>
  </cols>
  <sheetData>
    <row r="1" spans="1:12" ht="23" x14ac:dyDescent="0.25">
      <c r="A1" s="232" t="str">
        <f>IS!A1</f>
        <v>Colgate-Palmolive Company</v>
      </c>
      <c r="B1" s="243"/>
      <c r="C1" s="243"/>
      <c r="D1" s="281"/>
      <c r="E1" s="243"/>
      <c r="F1" s="243"/>
      <c r="G1" s="243"/>
    </row>
    <row r="2" spans="1:12" x14ac:dyDescent="0.15">
      <c r="A2" s="243"/>
      <c r="B2" s="243"/>
      <c r="C2" s="243"/>
      <c r="D2" s="243"/>
      <c r="E2" s="243"/>
      <c r="F2" s="243"/>
      <c r="G2" s="243"/>
    </row>
    <row r="3" spans="1:12" ht="16" x14ac:dyDescent="0.2">
      <c r="A3" s="233" t="s">
        <v>20</v>
      </c>
      <c r="B3" s="243"/>
      <c r="C3" s="243"/>
      <c r="D3" s="243"/>
      <c r="E3" s="243"/>
      <c r="F3" s="243"/>
      <c r="G3" s="243"/>
    </row>
    <row r="5" spans="1:12" ht="15" thickBot="1" x14ac:dyDescent="0.2">
      <c r="B5" s="27"/>
      <c r="C5" s="42">
        <f>IS!C5</f>
        <v>42735</v>
      </c>
      <c r="D5" s="42">
        <f>IS!D5</f>
        <v>43100</v>
      </c>
      <c r="E5" s="42">
        <f>IS!E5</f>
        <v>43465</v>
      </c>
      <c r="F5" s="42">
        <f>IS!F5</f>
        <v>43830</v>
      </c>
      <c r="G5" s="42">
        <f>IS!G5</f>
        <v>44196</v>
      </c>
      <c r="H5" s="42">
        <f>IS!H5</f>
        <v>44561</v>
      </c>
      <c r="I5" s="42">
        <f>IS!I5</f>
        <v>44926</v>
      </c>
      <c r="J5" s="42">
        <f>IS!J5</f>
        <v>45291</v>
      </c>
      <c r="K5" s="42">
        <f>IS!K5</f>
        <v>45657</v>
      </c>
      <c r="L5" s="42">
        <f>IS!L5</f>
        <v>46022</v>
      </c>
    </row>
    <row r="6" spans="1:12" x14ac:dyDescent="0.15">
      <c r="B6" s="16" t="s">
        <v>21</v>
      </c>
    </row>
    <row r="7" spans="1:12" x14ac:dyDescent="0.15">
      <c r="B7" s="2" t="s">
        <v>22</v>
      </c>
    </row>
    <row r="8" spans="1:12" x14ac:dyDescent="0.15">
      <c r="B8" s="3" t="s">
        <v>23</v>
      </c>
      <c r="C8" s="34">
        <v>1315</v>
      </c>
      <c r="D8" s="34">
        <v>1535</v>
      </c>
      <c r="E8" s="34">
        <v>726</v>
      </c>
      <c r="F8" s="34">
        <v>883</v>
      </c>
      <c r="G8" s="34">
        <v>888</v>
      </c>
      <c r="H8" s="156">
        <f ca="1">CF!H49</f>
        <v>499.99999999999977</v>
      </c>
      <c r="I8" s="156">
        <f ca="1">CF!I49</f>
        <v>499.99999999999977</v>
      </c>
      <c r="J8" s="156">
        <f ca="1">CF!J49</f>
        <v>499.99999999999977</v>
      </c>
      <c r="K8" s="156">
        <f ca="1">CF!K49</f>
        <v>651.2750233296963</v>
      </c>
      <c r="L8" s="156">
        <f ca="1">CF!L49</f>
        <v>651.2750233296963</v>
      </c>
    </row>
    <row r="9" spans="1:12" x14ac:dyDescent="0.15">
      <c r="B9" s="3" t="s">
        <v>214</v>
      </c>
      <c r="C9" s="34">
        <v>1411</v>
      </c>
      <c r="D9" s="34">
        <v>1480</v>
      </c>
      <c r="E9" s="34">
        <v>1400</v>
      </c>
      <c r="F9" s="35">
        <v>1440</v>
      </c>
      <c r="G9" s="35">
        <v>1264</v>
      </c>
      <c r="H9" s="141">
        <f>'Working Capital'!H10</f>
        <v>1567.0778082191778</v>
      </c>
      <c r="I9" s="141">
        <f>'Working Capital'!I10</f>
        <v>1397.7152273972611</v>
      </c>
      <c r="J9" s="141">
        <f>'Working Capital'!J10</f>
        <v>1711.9272367671233</v>
      </c>
      <c r="K9" s="141">
        <f>'Working Capital'!K10</f>
        <v>1554.7221074635618</v>
      </c>
      <c r="L9" s="141">
        <f>'Working Capital'!L10</f>
        <v>1882.2113124443135</v>
      </c>
    </row>
    <row r="10" spans="1:12" x14ac:dyDescent="0.15">
      <c r="B10" s="3" t="s">
        <v>24</v>
      </c>
      <c r="C10" s="34">
        <v>1171</v>
      </c>
      <c r="D10" s="34">
        <v>1221</v>
      </c>
      <c r="E10" s="34">
        <v>1250</v>
      </c>
      <c r="F10" s="35">
        <v>1400</v>
      </c>
      <c r="G10" s="35">
        <v>1673</v>
      </c>
      <c r="H10" s="141">
        <f>'Working Capital'!H11</f>
        <v>1535.5548493150686</v>
      </c>
      <c r="I10" s="141">
        <f>'Working Capital'!I11</f>
        <v>1824.5439243835622</v>
      </c>
      <c r="J10" s="141">
        <f>'Working Capital'!J11</f>
        <v>1699.7175350027401</v>
      </c>
      <c r="K10" s="141">
        <f>'Working Capital'!K11</f>
        <v>2002.4850551253703</v>
      </c>
      <c r="L10" s="141">
        <f>'Working Capital'!L11</f>
        <v>1892.7061541035546</v>
      </c>
    </row>
    <row r="11" spans="1:12" x14ac:dyDescent="0.15">
      <c r="B11" s="3" t="s">
        <v>25</v>
      </c>
      <c r="C11" s="36">
        <v>441</v>
      </c>
      <c r="D11" s="36">
        <v>403</v>
      </c>
      <c r="E11" s="36">
        <v>417</v>
      </c>
      <c r="F11" s="37">
        <v>456</v>
      </c>
      <c r="G11" s="37">
        <v>513</v>
      </c>
      <c r="H11" s="142">
        <f>'Working Capital'!H12</f>
        <v>533.89409000000001</v>
      </c>
      <c r="I11" s="142">
        <f>'Working Capital'!I12</f>
        <v>559.11055329999999</v>
      </c>
      <c r="J11" s="142">
        <f>'Working Capital'!J12</f>
        <v>586.42674136700009</v>
      </c>
      <c r="K11" s="142">
        <f>'Working Capital'!K12</f>
        <v>616.03562216617001</v>
      </c>
      <c r="L11" s="142">
        <f>'Working Capital'!L12</f>
        <v>648.14836077096004</v>
      </c>
    </row>
    <row r="12" spans="1:12" x14ac:dyDescent="0.15">
      <c r="B12" s="3" t="s">
        <v>26</v>
      </c>
      <c r="C12" s="29">
        <f t="shared" ref="C12:G12" si="0">SUM(C8:C11)</f>
        <v>4338</v>
      </c>
      <c r="D12" s="29">
        <f t="shared" si="0"/>
        <v>4639</v>
      </c>
      <c r="E12" s="29">
        <f t="shared" si="0"/>
        <v>3793</v>
      </c>
      <c r="F12" s="29">
        <f t="shared" si="0"/>
        <v>4179</v>
      </c>
      <c r="G12" s="29">
        <f t="shared" si="0"/>
        <v>4338</v>
      </c>
      <c r="H12" s="29">
        <f ca="1">SUM(H8:H11)</f>
        <v>4136.5267475342462</v>
      </c>
      <c r="I12" s="29">
        <f t="shared" ref="I12:L12" ca="1" si="1">SUM(I8:I11)</f>
        <v>4281.3697050808232</v>
      </c>
      <c r="J12" s="29">
        <f t="shared" ca="1" si="1"/>
        <v>4498.0715131368634</v>
      </c>
      <c r="K12" s="29">
        <f t="shared" ca="1" si="1"/>
        <v>4824.5178080847982</v>
      </c>
      <c r="L12" s="29">
        <f t="shared" ca="1" si="1"/>
        <v>5074.3408506485239</v>
      </c>
    </row>
    <row r="13" spans="1:12" x14ac:dyDescent="0.15">
      <c r="B13" s="2"/>
      <c r="C13" s="28"/>
      <c r="D13" s="28"/>
      <c r="E13" s="28"/>
      <c r="F13" s="5"/>
      <c r="G13" s="5"/>
      <c r="H13" s="5"/>
      <c r="I13" s="5"/>
      <c r="J13" s="5"/>
      <c r="K13" s="5"/>
      <c r="L13" s="5"/>
    </row>
    <row r="14" spans="1:12" x14ac:dyDescent="0.15">
      <c r="B14" s="2" t="s">
        <v>27</v>
      </c>
      <c r="C14" s="34">
        <v>3840</v>
      </c>
      <c r="D14" s="34">
        <v>4072</v>
      </c>
      <c r="E14" s="34">
        <v>3881</v>
      </c>
      <c r="F14" s="11">
        <v>3750</v>
      </c>
      <c r="G14" s="11">
        <v>3716</v>
      </c>
      <c r="H14" s="151">
        <f>'Dep Capex '!H13</f>
        <v>3713.0640115879614</v>
      </c>
      <c r="I14" s="151">
        <f>'Dep Capex '!I13</f>
        <v>3704.0286274661826</v>
      </c>
      <c r="J14" s="151">
        <f>'Dep Capex '!J13</f>
        <v>3689.4598133282625</v>
      </c>
      <c r="K14" s="151">
        <f>'Dep Capex '!K13</f>
        <v>3669.9876990892762</v>
      </c>
      <c r="L14" s="151">
        <f>'Dep Capex '!L13</f>
        <v>3646.312910870513</v>
      </c>
    </row>
    <row r="15" spans="1:12" x14ac:dyDescent="0.15">
      <c r="B15" s="2" t="s">
        <v>28</v>
      </c>
      <c r="C15" s="34">
        <v>2107</v>
      </c>
      <c r="D15" s="34">
        <v>2218</v>
      </c>
      <c r="E15" s="34">
        <v>2530</v>
      </c>
      <c r="F15" s="11">
        <v>3508</v>
      </c>
      <c r="G15" s="11">
        <v>3824</v>
      </c>
      <c r="H15" s="151">
        <f>'Other Long Term Asset Liability'!H8</f>
        <v>3824</v>
      </c>
      <c r="I15" s="151">
        <f>'Other Long Term Asset Liability'!I8</f>
        <v>3824</v>
      </c>
      <c r="J15" s="151">
        <f>'Other Long Term Asset Liability'!J8</f>
        <v>3824</v>
      </c>
      <c r="K15" s="151">
        <f>'Other Long Term Asset Liability'!K8</f>
        <v>3824</v>
      </c>
      <c r="L15" s="151">
        <f>'Other Long Term Asset Liability'!L8</f>
        <v>3824</v>
      </c>
    </row>
    <row r="16" spans="1:12" x14ac:dyDescent="0.15">
      <c r="B16" s="2" t="s">
        <v>29</v>
      </c>
      <c r="C16" s="34">
        <v>1313</v>
      </c>
      <c r="D16" s="34">
        <v>1341</v>
      </c>
      <c r="E16" s="34">
        <v>1637</v>
      </c>
      <c r="F16" s="11">
        <v>2667</v>
      </c>
      <c r="G16" s="11">
        <v>2894</v>
      </c>
      <c r="H16" s="151">
        <f>'Amort Intangible'!H13</f>
        <v>3155.4477999999999</v>
      </c>
      <c r="I16" s="151">
        <f>'Amort Intangible'!I13</f>
        <v>3433.1642860000002</v>
      </c>
      <c r="J16" s="151">
        <f>'Amort Intangible'!J13</f>
        <v>3728.5041191400001</v>
      </c>
      <c r="K16" s="151">
        <f>'Amort Intangible'!K13</f>
        <v>4042.9464560214001</v>
      </c>
      <c r="L16" s="151">
        <f>'Amort Intangible'!L13</f>
        <v>4378.1066887768584</v>
      </c>
    </row>
    <row r="17" spans="2:14" x14ac:dyDescent="0.15">
      <c r="B17" s="2" t="s">
        <v>30</v>
      </c>
      <c r="C17" s="34">
        <v>301</v>
      </c>
      <c r="D17" s="34">
        <v>188</v>
      </c>
      <c r="E17" s="34">
        <v>152</v>
      </c>
      <c r="F17" s="11">
        <v>177</v>
      </c>
      <c r="G17" s="11">
        <v>291</v>
      </c>
      <c r="H17" s="151">
        <f>'Other Long Term Asset Liability'!H9</f>
        <v>291</v>
      </c>
      <c r="I17" s="151">
        <f>'Other Long Term Asset Liability'!I9</f>
        <v>291</v>
      </c>
      <c r="J17" s="151">
        <f>'Other Long Term Asset Liability'!J9</f>
        <v>291</v>
      </c>
      <c r="K17" s="151">
        <f>'Other Long Term Asset Liability'!K9</f>
        <v>291</v>
      </c>
      <c r="L17" s="151">
        <f>'Other Long Term Asset Liability'!L9</f>
        <v>291</v>
      </c>
    </row>
    <row r="18" spans="2:14" x14ac:dyDescent="0.15">
      <c r="B18" s="3" t="s">
        <v>31</v>
      </c>
      <c r="C18" s="36">
        <v>224</v>
      </c>
      <c r="D18" s="36">
        <v>218</v>
      </c>
      <c r="E18" s="36">
        <v>168</v>
      </c>
      <c r="F18" s="37">
        <v>753</v>
      </c>
      <c r="G18" s="37">
        <v>857</v>
      </c>
      <c r="H18" s="151">
        <f>'Other Long Term Asset Liability'!H10</f>
        <v>857</v>
      </c>
      <c r="I18" s="151">
        <f>'Other Long Term Asset Liability'!I10</f>
        <v>857</v>
      </c>
      <c r="J18" s="151">
        <f>'Other Long Term Asset Liability'!J10</f>
        <v>857</v>
      </c>
      <c r="K18" s="151">
        <f>'Other Long Term Asset Liability'!K10</f>
        <v>857</v>
      </c>
      <c r="L18" s="151">
        <f>'Other Long Term Asset Liability'!L10</f>
        <v>857</v>
      </c>
    </row>
    <row r="19" spans="2:14" ht="15" x14ac:dyDescent="0.15">
      <c r="B19" s="205" t="s">
        <v>32</v>
      </c>
      <c r="C19" s="28">
        <f t="shared" ref="C19:G19" si="2">SUM(C12:C18)</f>
        <v>12123</v>
      </c>
      <c r="D19" s="28">
        <f t="shared" si="2"/>
        <v>12676</v>
      </c>
      <c r="E19" s="28">
        <f t="shared" si="2"/>
        <v>12161</v>
      </c>
      <c r="F19" s="28">
        <f t="shared" si="2"/>
        <v>15034</v>
      </c>
      <c r="G19" s="28">
        <f t="shared" si="2"/>
        <v>15920</v>
      </c>
      <c r="H19" s="307">
        <f ca="1">SUM(H12:H18)</f>
        <v>15977.038559122208</v>
      </c>
      <c r="I19" s="307">
        <f t="shared" ref="I19:L19" ca="1" si="3">SUM(I12:I18)</f>
        <v>16390.562618547006</v>
      </c>
      <c r="J19" s="307">
        <f t="shared" ca="1" si="3"/>
        <v>16888.035445605128</v>
      </c>
      <c r="K19" s="307">
        <f t="shared" ca="1" si="3"/>
        <v>17509.451963195475</v>
      </c>
      <c r="L19" s="307">
        <f t="shared" ca="1" si="3"/>
        <v>18070.760450295897</v>
      </c>
    </row>
    <row r="20" spans="2:14" ht="15" thickBot="1" x14ac:dyDescent="0.2">
      <c r="B20" s="1"/>
      <c r="C20" s="31"/>
      <c r="D20" s="31"/>
      <c r="E20" s="31"/>
      <c r="F20" s="10"/>
      <c r="G20" s="10"/>
      <c r="H20" s="10"/>
      <c r="I20" s="10"/>
      <c r="J20" s="10"/>
      <c r="K20" s="10"/>
      <c r="L20" s="10"/>
    </row>
    <row r="21" spans="2:14" x14ac:dyDescent="0.15">
      <c r="B21" s="16" t="s">
        <v>33</v>
      </c>
      <c r="C21" s="28"/>
      <c r="D21" s="28"/>
      <c r="E21" s="28"/>
      <c r="F21" s="32"/>
      <c r="G21" s="32"/>
      <c r="H21" s="32"/>
      <c r="I21" s="32"/>
      <c r="J21" s="32"/>
      <c r="K21" s="32"/>
      <c r="L21" s="32"/>
    </row>
    <row r="22" spans="2:14" x14ac:dyDescent="0.15">
      <c r="B22" s="2" t="s">
        <v>34</v>
      </c>
      <c r="C22" s="28"/>
      <c r="D22" s="28"/>
      <c r="E22" s="28"/>
      <c r="F22" s="5"/>
      <c r="G22" s="5"/>
      <c r="H22" s="5"/>
      <c r="I22" s="5"/>
      <c r="J22" s="5"/>
      <c r="K22" s="5"/>
      <c r="L22" s="5"/>
    </row>
    <row r="23" spans="2:14" x14ac:dyDescent="0.15">
      <c r="B23" s="3" t="s">
        <v>35</v>
      </c>
      <c r="C23" s="34">
        <v>13</v>
      </c>
      <c r="D23" s="34">
        <v>11</v>
      </c>
      <c r="E23" s="34">
        <v>12</v>
      </c>
      <c r="F23" s="34">
        <v>260</v>
      </c>
      <c r="G23" s="34">
        <v>258</v>
      </c>
      <c r="H23" s="245">
        <f>G23</f>
        <v>258</v>
      </c>
      <c r="I23" s="245">
        <f t="shared" ref="I23:L23" si="4">H23</f>
        <v>258</v>
      </c>
      <c r="J23" s="245">
        <f t="shared" si="4"/>
        <v>258</v>
      </c>
      <c r="K23" s="245">
        <f t="shared" si="4"/>
        <v>258</v>
      </c>
      <c r="L23" s="245">
        <f t="shared" si="4"/>
        <v>258</v>
      </c>
    </row>
    <row r="24" spans="2:14" x14ac:dyDescent="0.15">
      <c r="B24" s="3" t="s">
        <v>36</v>
      </c>
      <c r="C24" s="34"/>
      <c r="D24" s="34"/>
      <c r="E24" s="34"/>
      <c r="F24" s="35">
        <v>254</v>
      </c>
      <c r="G24" s="35">
        <v>9</v>
      </c>
      <c r="H24" s="156">
        <f>Debt!H29</f>
        <v>413</v>
      </c>
      <c r="I24" s="156">
        <f>Debt!I29</f>
        <v>896</v>
      </c>
      <c r="J24" s="156">
        <f>Debt!J29</f>
        <v>498</v>
      </c>
      <c r="K24" s="156">
        <f>Debt!K29</f>
        <v>130</v>
      </c>
      <c r="L24" s="156">
        <f>Debt!L29</f>
        <v>100</v>
      </c>
      <c r="N24" s="51"/>
    </row>
    <row r="25" spans="2:14" x14ac:dyDescent="0.15">
      <c r="B25" s="3" t="s">
        <v>37</v>
      </c>
      <c r="C25" s="34">
        <v>1124</v>
      </c>
      <c r="D25" s="34">
        <v>1212</v>
      </c>
      <c r="E25" s="34">
        <v>1222</v>
      </c>
      <c r="F25" s="35">
        <v>1237</v>
      </c>
      <c r="G25" s="35">
        <v>1393</v>
      </c>
      <c r="H25" s="141">
        <f>'Working Capital'!H15</f>
        <v>1196.6205997372867</v>
      </c>
      <c r="I25" s="141">
        <f>'Working Capital'!I15</f>
        <v>1681.3646915218615</v>
      </c>
      <c r="J25" s="141">
        <f>'Working Capital'!J15</f>
        <v>1173.0896599265907</v>
      </c>
      <c r="K25" s="141">
        <f>'Working Capital'!K15</f>
        <v>1991.9130690736515</v>
      </c>
      <c r="L25" s="141">
        <f>'Working Capital'!L15</f>
        <v>1173.7844804393039</v>
      </c>
    </row>
    <row r="26" spans="2:14" x14ac:dyDescent="0.15">
      <c r="B26" s="3" t="s">
        <v>38</v>
      </c>
      <c r="C26" s="38">
        <v>441</v>
      </c>
      <c r="D26" s="38">
        <v>354</v>
      </c>
      <c r="E26" s="38">
        <v>411</v>
      </c>
      <c r="F26" s="35">
        <v>370</v>
      </c>
      <c r="G26" s="35">
        <v>403</v>
      </c>
      <c r="H26" s="141">
        <f>'Working Capital'!H16</f>
        <v>427.115272</v>
      </c>
      <c r="I26" s="141">
        <f>'Working Capital'!I16</f>
        <v>447.28844264000003</v>
      </c>
      <c r="J26" s="141">
        <f>'Working Capital'!J16</f>
        <v>469.14139309360007</v>
      </c>
      <c r="K26" s="141">
        <f>'Working Capital'!K16</f>
        <v>492.82849773293606</v>
      </c>
      <c r="L26" s="141">
        <f>'Working Capital'!L16</f>
        <v>518.51868861676803</v>
      </c>
    </row>
    <row r="27" spans="2:14" x14ac:dyDescent="0.15">
      <c r="B27" s="3" t="s">
        <v>39</v>
      </c>
      <c r="C27" s="36">
        <v>1727</v>
      </c>
      <c r="D27" s="36">
        <v>1831</v>
      </c>
      <c r="E27" s="36">
        <v>1696</v>
      </c>
      <c r="F27" s="37">
        <v>1917</v>
      </c>
      <c r="G27" s="37">
        <v>2341</v>
      </c>
      <c r="H27" s="142">
        <f>'Working Capital'!H17</f>
        <v>2066.6867999999999</v>
      </c>
      <c r="I27" s="142">
        <f>'Working Capital'!I17</f>
        <v>2164.2989160000002</v>
      </c>
      <c r="J27" s="142">
        <f>'Working Capital'!J17</f>
        <v>2270.0389988400002</v>
      </c>
      <c r="K27" s="142">
        <f>'Working Capital'!K17</f>
        <v>2384.6540212884001</v>
      </c>
      <c r="L27" s="142">
        <f>'Working Capital'!L17</f>
        <v>2508.9613965327485</v>
      </c>
    </row>
    <row r="28" spans="2:14" x14ac:dyDescent="0.15">
      <c r="B28" s="3" t="s">
        <v>40</v>
      </c>
      <c r="C28" s="30">
        <f t="shared" ref="C28:G28" si="5">SUM(C23:C27)</f>
        <v>3305</v>
      </c>
      <c r="D28" s="30">
        <f t="shared" si="5"/>
        <v>3408</v>
      </c>
      <c r="E28" s="30">
        <f t="shared" si="5"/>
        <v>3341</v>
      </c>
      <c r="F28" s="30">
        <f t="shared" si="5"/>
        <v>4038</v>
      </c>
      <c r="G28" s="30">
        <f t="shared" si="5"/>
        <v>4404</v>
      </c>
      <c r="H28" s="30">
        <f>SUM(H23:H27)</f>
        <v>4361.4226717372867</v>
      </c>
      <c r="I28" s="30">
        <f t="shared" ref="I28:L28" si="6">SUM(I23:I27)</f>
        <v>5446.9520501618617</v>
      </c>
      <c r="J28" s="30">
        <f t="shared" si="6"/>
        <v>4668.2700518601905</v>
      </c>
      <c r="K28" s="30">
        <f t="shared" si="6"/>
        <v>5257.3955880949879</v>
      </c>
      <c r="L28" s="30">
        <f t="shared" si="6"/>
        <v>4559.2645655888209</v>
      </c>
    </row>
    <row r="29" spans="2:14" x14ac:dyDescent="0.15">
      <c r="B29" s="2"/>
      <c r="C29" s="28"/>
      <c r="D29" s="28"/>
      <c r="E29" s="28"/>
      <c r="F29" s="5"/>
      <c r="G29" s="5"/>
      <c r="H29" s="5"/>
      <c r="I29" s="5"/>
      <c r="J29" s="5"/>
      <c r="K29" s="5"/>
      <c r="L29" s="5"/>
    </row>
    <row r="30" spans="2:14" x14ac:dyDescent="0.15">
      <c r="B30" s="16" t="s">
        <v>208</v>
      </c>
      <c r="C30" s="28"/>
      <c r="D30" s="28"/>
      <c r="E30" s="28"/>
      <c r="F30" s="5"/>
      <c r="G30" s="5"/>
      <c r="H30" s="151">
        <f ca="1">Debt!H20</f>
        <v>860.46852524979477</v>
      </c>
      <c r="I30" s="151">
        <f ca="1">Debt!I20</f>
        <v>843.64220711856638</v>
      </c>
      <c r="J30" s="151">
        <f ca="1">Debt!J20</f>
        <v>2414.0357590325748</v>
      </c>
      <c r="K30" s="151">
        <f ca="1">Debt!K20</f>
        <v>2414.0357590325748</v>
      </c>
      <c r="L30" s="151">
        <f ca="1">Debt!L20</f>
        <v>3657.0430550901983</v>
      </c>
      <c r="N30" s="51"/>
    </row>
    <row r="31" spans="2:14" ht="15" customHeight="1" x14ac:dyDescent="0.15">
      <c r="B31" s="2"/>
      <c r="C31" s="28"/>
      <c r="D31" s="28"/>
      <c r="E31" s="28"/>
      <c r="F31" s="5"/>
      <c r="G31" s="5"/>
      <c r="H31" s="5"/>
      <c r="I31" s="5"/>
      <c r="J31" s="5"/>
      <c r="K31" s="5"/>
      <c r="L31" s="5"/>
      <c r="N31" s="51"/>
    </row>
    <row r="32" spans="2:14" ht="15" customHeight="1" x14ac:dyDescent="0.15">
      <c r="B32" s="2" t="s">
        <v>41</v>
      </c>
      <c r="C32" s="34">
        <v>6520</v>
      </c>
      <c r="D32" s="34">
        <v>6566</v>
      </c>
      <c r="E32" s="34">
        <v>6354</v>
      </c>
      <c r="F32" s="11">
        <v>7333</v>
      </c>
      <c r="G32" s="11">
        <v>7334</v>
      </c>
      <c r="H32" s="245">
        <f>Debt!H28</f>
        <v>6299</v>
      </c>
      <c r="I32" s="245">
        <f>Debt!I28</f>
        <v>5403</v>
      </c>
      <c r="J32" s="245">
        <f>Debt!J28</f>
        <v>4905</v>
      </c>
      <c r="K32" s="245">
        <f>Debt!K28</f>
        <v>4775</v>
      </c>
      <c r="L32" s="245">
        <f>Debt!L28</f>
        <v>4675</v>
      </c>
      <c r="N32" s="51"/>
    </row>
    <row r="33" spans="2:13" ht="15" customHeight="1" x14ac:dyDescent="0.15">
      <c r="B33" s="2" t="s">
        <v>30</v>
      </c>
      <c r="C33" s="34">
        <v>246</v>
      </c>
      <c r="D33" s="34">
        <v>204</v>
      </c>
      <c r="E33" s="34">
        <v>235</v>
      </c>
      <c r="F33" s="11">
        <v>507</v>
      </c>
      <c r="G33" s="11">
        <v>426</v>
      </c>
      <c r="H33" s="151">
        <f>'Other Long Term Asset Liability'!H13</f>
        <v>426</v>
      </c>
      <c r="I33" s="151">
        <f>'Other Long Term Asset Liability'!I13</f>
        <v>426</v>
      </c>
      <c r="J33" s="151">
        <f>'Other Long Term Asset Liability'!J13</f>
        <v>426</v>
      </c>
      <c r="K33" s="151">
        <f>'Other Long Term Asset Liability'!K13</f>
        <v>426</v>
      </c>
      <c r="L33" s="151">
        <f>'Other Long Term Asset Liability'!L13</f>
        <v>426</v>
      </c>
    </row>
    <row r="34" spans="2:13" ht="15" customHeight="1" x14ac:dyDescent="0.15">
      <c r="B34" s="2" t="s">
        <v>42</v>
      </c>
      <c r="C34" s="36">
        <v>2035</v>
      </c>
      <c r="D34" s="36">
        <v>2255</v>
      </c>
      <c r="E34" s="36">
        <v>2034</v>
      </c>
      <c r="F34" s="12">
        <v>2598</v>
      </c>
      <c r="G34" s="12">
        <v>2655</v>
      </c>
      <c r="H34" s="222">
        <f>'Other Long Term Asset Liability'!H14</f>
        <v>2655</v>
      </c>
      <c r="I34" s="222">
        <f>'Other Long Term Asset Liability'!I14</f>
        <v>2655</v>
      </c>
      <c r="J34" s="222">
        <f>'Other Long Term Asset Liability'!J14</f>
        <v>2655</v>
      </c>
      <c r="K34" s="222">
        <f>'Other Long Term Asset Liability'!K14</f>
        <v>2655</v>
      </c>
      <c r="L34" s="222">
        <f>'Other Long Term Asset Liability'!L14</f>
        <v>2655</v>
      </c>
    </row>
    <row r="35" spans="2:13" ht="15" customHeight="1" x14ac:dyDescent="0.15">
      <c r="B35" s="205" t="s">
        <v>43</v>
      </c>
      <c r="C35" s="29">
        <f t="shared" ref="C35:G35" si="7">SUM(C28:C34)</f>
        <v>12106</v>
      </c>
      <c r="D35" s="29">
        <f t="shared" si="7"/>
        <v>12433</v>
      </c>
      <c r="E35" s="29">
        <f t="shared" si="7"/>
        <v>11964</v>
      </c>
      <c r="F35" s="29">
        <f t="shared" si="7"/>
        <v>14476</v>
      </c>
      <c r="G35" s="29">
        <f t="shared" si="7"/>
        <v>14819</v>
      </c>
      <c r="H35" s="29">
        <f ca="1">SUM(H28:H34)</f>
        <v>14601.891196987082</v>
      </c>
      <c r="I35" s="29">
        <f t="shared" ref="I35:L35" ca="1" si="8">SUM(I28:I34)</f>
        <v>14774.594257280427</v>
      </c>
      <c r="J35" s="29">
        <f t="shared" ca="1" si="8"/>
        <v>15068.305810892765</v>
      </c>
      <c r="K35" s="29">
        <f t="shared" ca="1" si="8"/>
        <v>15527.431347127564</v>
      </c>
      <c r="L35" s="29">
        <f t="shared" ca="1" si="8"/>
        <v>15972.307620679019</v>
      </c>
      <c r="M35" s="29"/>
    </row>
    <row r="36" spans="2:13" ht="15" customHeight="1" x14ac:dyDescent="0.15">
      <c r="B36" s="206" t="s">
        <v>44</v>
      </c>
      <c r="C36" s="13" t="s">
        <v>56</v>
      </c>
      <c r="D36" s="13" t="s">
        <v>56</v>
      </c>
      <c r="E36" s="13" t="s">
        <v>56</v>
      </c>
      <c r="F36" s="13" t="s">
        <v>56</v>
      </c>
      <c r="G36" s="13" t="s">
        <v>56</v>
      </c>
      <c r="H36" s="13"/>
      <c r="I36" s="13"/>
      <c r="J36" s="13"/>
      <c r="K36" s="13"/>
      <c r="L36" s="13"/>
    </row>
    <row r="37" spans="2:13" ht="15" customHeight="1" x14ac:dyDescent="0.15">
      <c r="B37" s="2" t="s">
        <v>45</v>
      </c>
      <c r="C37" s="28"/>
      <c r="D37" s="28"/>
      <c r="E37" s="28"/>
      <c r="F37" s="5"/>
      <c r="G37" s="5"/>
      <c r="H37" s="5"/>
      <c r="I37" s="5"/>
      <c r="J37" s="5"/>
      <c r="K37" s="5"/>
      <c r="L37" s="5"/>
    </row>
    <row r="38" spans="2:13" ht="15" customHeight="1" x14ac:dyDescent="0.15">
      <c r="B38" s="3" t="s">
        <v>46</v>
      </c>
      <c r="C38" s="34">
        <v>1466</v>
      </c>
      <c r="D38" s="34">
        <v>1466</v>
      </c>
      <c r="E38" s="34">
        <v>1466</v>
      </c>
      <c r="F38" s="35">
        <v>1466</v>
      </c>
      <c r="G38" s="35">
        <v>1466</v>
      </c>
      <c r="H38" s="35"/>
      <c r="I38" s="35"/>
      <c r="J38" s="35"/>
      <c r="K38" s="35"/>
      <c r="L38" s="35"/>
    </row>
    <row r="39" spans="2:13" ht="15" customHeight="1" x14ac:dyDescent="0.15">
      <c r="B39" s="3" t="s">
        <v>47</v>
      </c>
      <c r="C39" s="34">
        <v>1691</v>
      </c>
      <c r="D39" s="34">
        <v>1984</v>
      </c>
      <c r="E39" s="34">
        <v>2204</v>
      </c>
      <c r="F39" s="35">
        <v>2488</v>
      </c>
      <c r="G39" s="35">
        <v>2969</v>
      </c>
      <c r="H39" s="35"/>
      <c r="I39" s="35"/>
      <c r="J39" s="35"/>
      <c r="K39" s="35"/>
      <c r="L39" s="35"/>
    </row>
    <row r="40" spans="2:13" ht="15" customHeight="1" x14ac:dyDescent="0.15">
      <c r="B40" s="3" t="s">
        <v>48</v>
      </c>
      <c r="C40" s="34">
        <v>19922</v>
      </c>
      <c r="D40" s="34">
        <v>20531</v>
      </c>
      <c r="E40" s="34">
        <v>21615</v>
      </c>
      <c r="F40" s="35">
        <v>22501</v>
      </c>
      <c r="G40" s="35">
        <v>23699</v>
      </c>
      <c r="H40" s="35"/>
      <c r="I40" s="35"/>
      <c r="J40" s="35"/>
      <c r="K40" s="35"/>
      <c r="L40" s="35"/>
    </row>
    <row r="41" spans="2:13" ht="15" customHeight="1" x14ac:dyDescent="0.15">
      <c r="B41" s="3" t="s">
        <v>49</v>
      </c>
      <c r="C41" s="38">
        <v>-4180</v>
      </c>
      <c r="D41" s="38">
        <v>-3855</v>
      </c>
      <c r="E41" s="38">
        <v>-4188</v>
      </c>
      <c r="F41" s="39">
        <v>-4273</v>
      </c>
      <c r="G41" s="39">
        <v>-4345</v>
      </c>
      <c r="H41" s="39"/>
      <c r="I41" s="39"/>
      <c r="J41" s="39"/>
      <c r="K41" s="39"/>
      <c r="L41" s="39"/>
    </row>
    <row r="42" spans="2:13" ht="15" customHeight="1" x14ac:dyDescent="0.15">
      <c r="B42" s="3" t="s">
        <v>50</v>
      </c>
      <c r="C42" s="38">
        <v>-7</v>
      </c>
      <c r="D42" s="38">
        <v>-5</v>
      </c>
      <c r="E42" s="38">
        <v>-3</v>
      </c>
      <c r="F42" s="38">
        <v>-2</v>
      </c>
      <c r="G42" s="38">
        <v>-1</v>
      </c>
      <c r="H42" s="38"/>
      <c r="I42" s="38"/>
      <c r="J42" s="38"/>
      <c r="K42" s="38"/>
      <c r="L42" s="38"/>
    </row>
    <row r="43" spans="2:13" ht="15" customHeight="1" x14ac:dyDescent="0.15">
      <c r="B43" s="3" t="s">
        <v>51</v>
      </c>
      <c r="C43" s="36">
        <v>-19135</v>
      </c>
      <c r="D43" s="36">
        <v>-20181</v>
      </c>
      <c r="E43" s="36">
        <v>-21196</v>
      </c>
      <c r="F43" s="36">
        <v>-22063</v>
      </c>
      <c r="G43" s="36">
        <v>-23045</v>
      </c>
      <c r="H43" s="36"/>
      <c r="I43" s="36"/>
      <c r="J43" s="36"/>
      <c r="K43" s="36"/>
      <c r="L43" s="36"/>
    </row>
    <row r="44" spans="2:13" ht="15" x14ac:dyDescent="0.15">
      <c r="B44" s="205" t="s">
        <v>277</v>
      </c>
      <c r="C44" s="29">
        <f>SUM(C38:C43)</f>
        <v>-243</v>
      </c>
      <c r="D44" s="29">
        <f>SUM(D38:D43)</f>
        <v>-60</v>
      </c>
      <c r="E44" s="29">
        <f>SUM(E38:E43)</f>
        <v>-102</v>
      </c>
      <c r="F44" s="29">
        <f>SUM(F38:F43)</f>
        <v>117</v>
      </c>
      <c r="G44" s="29">
        <f>SUM(G38:G43)</f>
        <v>743</v>
      </c>
      <c r="H44" s="141">
        <f ca="1">'Shareholders Equity'!H11</f>
        <v>842.36473003548895</v>
      </c>
      <c r="I44" s="141">
        <f ca="1">'Shareholders Equity'!I11</f>
        <v>899.60362837776188</v>
      </c>
      <c r="J44" s="141">
        <f ca="1">'Shareholders Equity'!J11</f>
        <v>910.33429903190631</v>
      </c>
      <c r="K44" s="141">
        <f ca="1">'Shareholders Equity'!K11</f>
        <v>869.30838727621085</v>
      </c>
      <c r="L44" s="141">
        <f ca="1">'Shareholders Equity'!L11</f>
        <v>771.56255764307798</v>
      </c>
    </row>
    <row r="45" spans="2:13" x14ac:dyDescent="0.15">
      <c r="B45" s="3" t="s">
        <v>53</v>
      </c>
      <c r="C45" s="36">
        <v>260</v>
      </c>
      <c r="D45" s="36">
        <v>303</v>
      </c>
      <c r="E45" s="36">
        <v>299</v>
      </c>
      <c r="F45" s="35">
        <v>441</v>
      </c>
      <c r="G45" s="35">
        <v>358</v>
      </c>
      <c r="H45" s="245">
        <f ca="1">G45+IS!H19</f>
        <v>532.78263209963734</v>
      </c>
      <c r="I45" s="245">
        <f ca="1">H45+IS!I19</f>
        <v>716.36473288881598</v>
      </c>
      <c r="J45" s="245">
        <f ca="1">I45+IS!J19</f>
        <v>909.39533568045454</v>
      </c>
      <c r="K45" s="245">
        <f ca="1">J45+IS!K19</f>
        <v>1112.7122287917027</v>
      </c>
      <c r="L45" s="245">
        <f ca="1">K45+IS!L19</f>
        <v>1326.8902719738012</v>
      </c>
    </row>
    <row r="46" spans="2:13" x14ac:dyDescent="0.15">
      <c r="B46" s="206" t="s">
        <v>54</v>
      </c>
      <c r="C46" s="33">
        <f t="shared" ref="C46:G46" si="9">SUM(C44:C45)</f>
        <v>17</v>
      </c>
      <c r="D46" s="33">
        <f t="shared" si="9"/>
        <v>243</v>
      </c>
      <c r="E46" s="33">
        <f t="shared" si="9"/>
        <v>197</v>
      </c>
      <c r="F46" s="33">
        <f t="shared" si="9"/>
        <v>558</v>
      </c>
      <c r="G46" s="33">
        <f t="shared" si="9"/>
        <v>1101</v>
      </c>
      <c r="H46" s="33">
        <f ca="1">SUM(H44:H45)</f>
        <v>1375.1473621351263</v>
      </c>
      <c r="I46" s="33">
        <f t="shared" ref="I46:L46" ca="1" si="10">SUM(I44:I45)</f>
        <v>1615.9683612665779</v>
      </c>
      <c r="J46" s="33">
        <f t="shared" ca="1" si="10"/>
        <v>1819.7296347123608</v>
      </c>
      <c r="K46" s="33">
        <f t="shared" ca="1" si="10"/>
        <v>1982.0206160679136</v>
      </c>
      <c r="L46" s="33">
        <f t="shared" ca="1" si="10"/>
        <v>2098.4528296168792</v>
      </c>
    </row>
    <row r="47" spans="2:13" ht="15" x14ac:dyDescent="0.15">
      <c r="B47" s="205" t="s">
        <v>55</v>
      </c>
      <c r="C47" s="28">
        <f t="shared" ref="C47:G47" si="11">C46+C35</f>
        <v>12123</v>
      </c>
      <c r="D47" s="28">
        <f t="shared" si="11"/>
        <v>12676</v>
      </c>
      <c r="E47" s="28">
        <f t="shared" si="11"/>
        <v>12161</v>
      </c>
      <c r="F47" s="28">
        <f t="shared" si="11"/>
        <v>15034</v>
      </c>
      <c r="G47" s="28">
        <f t="shared" si="11"/>
        <v>15920</v>
      </c>
      <c r="H47" s="28">
        <f ca="1">H46+H35</f>
        <v>15977.038559122209</v>
      </c>
      <c r="I47" s="28">
        <f t="shared" ref="I47:L47" ca="1" si="12">I46+I35</f>
        <v>16390.562618547006</v>
      </c>
      <c r="J47" s="28">
        <f t="shared" ca="1" si="12"/>
        <v>16888.035445605125</v>
      </c>
      <c r="K47" s="28">
        <f t="shared" ca="1" si="12"/>
        <v>17509.451963195475</v>
      </c>
      <c r="L47" s="28">
        <f t="shared" ca="1" si="12"/>
        <v>18070.7604502959</v>
      </c>
      <c r="M47" s="28">
        <f t="shared" ref="M47" si="13">M46+M35</f>
        <v>0</v>
      </c>
    </row>
    <row r="48" spans="2:13" ht="15" thickBot="1" x14ac:dyDescent="0.2">
      <c r="B48" s="27"/>
      <c r="C48" s="1"/>
      <c r="D48" s="1"/>
      <c r="E48" s="1"/>
      <c r="F48" s="27"/>
      <c r="G48" s="27"/>
      <c r="H48" s="27"/>
      <c r="I48" s="27"/>
      <c r="J48" s="27"/>
      <c r="K48" s="27"/>
      <c r="L48" s="27"/>
    </row>
    <row r="50" spans="2:12" x14ac:dyDescent="0.15">
      <c r="B50" s="15" t="s">
        <v>106</v>
      </c>
      <c r="C50" s="51">
        <f>C47-C19</f>
        <v>0</v>
      </c>
      <c r="D50" s="51">
        <f>D47-D19</f>
        <v>0</v>
      </c>
      <c r="E50" s="51">
        <f>E47-E19</f>
        <v>0</v>
      </c>
      <c r="F50" s="51">
        <f>F47-F19</f>
        <v>0</v>
      </c>
      <c r="G50" s="51">
        <f>G47-G19</f>
        <v>0</v>
      </c>
      <c r="H50" s="51">
        <f t="shared" ref="H50:L50" ca="1" si="14">H47-H19</f>
        <v>0</v>
      </c>
      <c r="I50" s="51">
        <f t="shared" ca="1" si="14"/>
        <v>0</v>
      </c>
      <c r="J50" s="51">
        <f t="shared" ca="1" si="14"/>
        <v>0</v>
      </c>
      <c r="K50" s="51">
        <f t="shared" ca="1" si="14"/>
        <v>0</v>
      </c>
      <c r="L50" s="51">
        <f t="shared" ca="1" si="14"/>
        <v>0</v>
      </c>
    </row>
    <row r="51" spans="2:12" x14ac:dyDescent="0.15">
      <c r="C51" s="51"/>
      <c r="D51" s="51"/>
      <c r="E51" s="51"/>
      <c r="F51" s="51"/>
      <c r="G51" s="51"/>
      <c r="H51" s="51"/>
      <c r="I51" s="51"/>
      <c r="J51" s="51"/>
      <c r="K51" s="51"/>
      <c r="L51" s="51"/>
    </row>
    <row r="52" spans="2:12" ht="15" thickBot="1" x14ac:dyDescent="0.2">
      <c r="B52" s="27"/>
      <c r="C52" s="42">
        <f t="shared" ref="C52:L52" si="15">C5</f>
        <v>42735</v>
      </c>
      <c r="D52" s="42">
        <f t="shared" si="15"/>
        <v>43100</v>
      </c>
      <c r="E52" s="42">
        <f t="shared" si="15"/>
        <v>43465</v>
      </c>
      <c r="F52" s="42">
        <f t="shared" si="15"/>
        <v>43830</v>
      </c>
      <c r="G52" s="42">
        <f t="shared" si="15"/>
        <v>44196</v>
      </c>
      <c r="H52" s="42">
        <f t="shared" si="15"/>
        <v>44561</v>
      </c>
      <c r="I52" s="42">
        <f t="shared" si="15"/>
        <v>44926</v>
      </c>
      <c r="J52" s="42">
        <f t="shared" si="15"/>
        <v>45291</v>
      </c>
      <c r="K52" s="42">
        <f t="shared" si="15"/>
        <v>45657</v>
      </c>
      <c r="L52" s="42">
        <f t="shared" si="15"/>
        <v>46022</v>
      </c>
    </row>
    <row r="53" spans="2:12" x14ac:dyDescent="0.15">
      <c r="B53" s="16" t="s">
        <v>21</v>
      </c>
    </row>
    <row r="54" spans="2:12" x14ac:dyDescent="0.15">
      <c r="B54" s="2" t="s">
        <v>22</v>
      </c>
    </row>
    <row r="55" spans="2:12" x14ac:dyDescent="0.15">
      <c r="B55" s="3" t="s">
        <v>23</v>
      </c>
      <c r="C55" s="204">
        <f t="shared" ref="C55:L59" si="16">C8/C$19</f>
        <v>0.10847150045368308</v>
      </c>
      <c r="D55" s="204">
        <f t="shared" si="16"/>
        <v>0.12109498264436731</v>
      </c>
      <c r="E55" s="204">
        <f t="shared" si="16"/>
        <v>5.9699037908066771E-2</v>
      </c>
      <c r="F55" s="204">
        <f t="shared" si="16"/>
        <v>5.8733537315418388E-2</v>
      </c>
      <c r="G55" s="204">
        <f t="shared" si="16"/>
        <v>5.5778894472361812E-2</v>
      </c>
      <c r="H55" s="204">
        <f t="shared" ca="1" si="16"/>
        <v>3.1294911015566217E-2</v>
      </c>
      <c r="I55" s="204">
        <f t="shared" ca="1" si="16"/>
        <v>3.0505359189697167E-2</v>
      </c>
      <c r="J55" s="204">
        <f t="shared" ca="1" si="16"/>
        <v>2.9606759271109753E-2</v>
      </c>
      <c r="K55" s="204">
        <f t="shared" ca="1" si="16"/>
        <v>3.7195625808201398E-2</v>
      </c>
      <c r="L55" s="204">
        <f t="shared" ca="1" si="16"/>
        <v>3.6040266546670544E-2</v>
      </c>
    </row>
    <row r="56" spans="2:12" x14ac:dyDescent="0.15">
      <c r="B56" s="3" t="s">
        <v>214</v>
      </c>
      <c r="C56" s="204">
        <f t="shared" si="16"/>
        <v>0.11639033242596716</v>
      </c>
      <c r="D56" s="204">
        <f t="shared" si="16"/>
        <v>0.1167560744714421</v>
      </c>
      <c r="E56" s="204">
        <f t="shared" si="16"/>
        <v>0.11512211166844832</v>
      </c>
      <c r="F56" s="204">
        <f t="shared" si="16"/>
        <v>9.5782892111214574E-2</v>
      </c>
      <c r="G56" s="204">
        <f t="shared" si="16"/>
        <v>7.9396984924623118E-2</v>
      </c>
      <c r="H56" s="204">
        <f t="shared" ca="1" si="16"/>
        <v>9.8083121125375469E-2</v>
      </c>
      <c r="I56" s="204">
        <f t="shared" ca="1" si="16"/>
        <v>8.5275610113325448E-2</v>
      </c>
      <c r="J56" s="204">
        <f t="shared" ca="1" si="16"/>
        <v>0.10136923517724071</v>
      </c>
      <c r="K56" s="204">
        <f t="shared" ca="1" si="16"/>
        <v>8.8793304937901954E-2</v>
      </c>
      <c r="L56" s="204">
        <f t="shared" ca="1" si="16"/>
        <v>0.10415783650175572</v>
      </c>
    </row>
    <row r="57" spans="2:12" x14ac:dyDescent="0.15">
      <c r="B57" s="3" t="s">
        <v>24</v>
      </c>
      <c r="C57" s="204">
        <f t="shared" si="16"/>
        <v>9.6593252495256951E-2</v>
      </c>
      <c r="D57" s="204">
        <f t="shared" si="16"/>
        <v>9.6323761438939726E-2</v>
      </c>
      <c r="E57" s="204">
        <f t="shared" si="16"/>
        <v>0.10278759970397171</v>
      </c>
      <c r="F57" s="204">
        <f t="shared" si="16"/>
        <v>9.3122256219236393E-2</v>
      </c>
      <c r="G57" s="204">
        <f t="shared" si="16"/>
        <v>0.10508793969849246</v>
      </c>
      <c r="H57" s="204">
        <f t="shared" ca="1" si="16"/>
        <v>9.6110104737672578E-2</v>
      </c>
      <c r="I57" s="204">
        <f t="shared" ca="1" si="16"/>
        <v>0.11131673554140051</v>
      </c>
      <c r="J57" s="204">
        <f t="shared" ca="1" si="16"/>
        <v>0.10064625577542043</v>
      </c>
      <c r="K57" s="204">
        <f t="shared" ca="1" si="16"/>
        <v>0.11436594699448929</v>
      </c>
      <c r="L57" s="204">
        <f t="shared" ca="1" si="16"/>
        <v>0.10473860019944888</v>
      </c>
    </row>
    <row r="58" spans="2:12" x14ac:dyDescent="0.15">
      <c r="B58" s="3" t="s">
        <v>25</v>
      </c>
      <c r="C58" s="204">
        <f t="shared" si="16"/>
        <v>3.6377134372680031E-2</v>
      </c>
      <c r="D58" s="204">
        <f t="shared" si="16"/>
        <v>3.1792363521615651E-2</v>
      </c>
      <c r="E58" s="204">
        <f t="shared" si="16"/>
        <v>3.4289943261244966E-2</v>
      </c>
      <c r="F58" s="204">
        <f t="shared" si="16"/>
        <v>3.0331249168551285E-2</v>
      </c>
      <c r="G58" s="204">
        <f t="shared" si="16"/>
        <v>3.2223618090452259E-2</v>
      </c>
      <c r="H58" s="204">
        <f t="shared" ca="1" si="16"/>
        <v>3.3416336076573419E-2</v>
      </c>
      <c r="I58" s="204">
        <f t="shared" ca="1" si="16"/>
        <v>3.4111736510333661E-2</v>
      </c>
      <c r="J58" s="204">
        <f t="shared" ca="1" si="16"/>
        <v>3.4724390723588239E-2</v>
      </c>
      <c r="K58" s="204">
        <f t="shared" ca="1" si="16"/>
        <v>3.5183032767733956E-2</v>
      </c>
      <c r="L58" s="204">
        <f t="shared" ca="1" si="16"/>
        <v>3.5867243249320314E-2</v>
      </c>
    </row>
    <row r="59" spans="2:12" x14ac:dyDescent="0.15">
      <c r="B59" s="3" t="s">
        <v>26</v>
      </c>
      <c r="C59" s="204">
        <f t="shared" si="16"/>
        <v>0.35783221974758722</v>
      </c>
      <c r="D59" s="204">
        <f t="shared" si="16"/>
        <v>0.36596718207636481</v>
      </c>
      <c r="E59" s="204">
        <f t="shared" si="16"/>
        <v>0.31189869254173175</v>
      </c>
      <c r="F59" s="204">
        <f t="shared" si="16"/>
        <v>0.27796993481442067</v>
      </c>
      <c r="G59" s="204">
        <f t="shared" si="16"/>
        <v>0.27248743718592966</v>
      </c>
      <c r="H59" s="204">
        <f t="shared" ca="1" si="16"/>
        <v>0.25890447295518765</v>
      </c>
      <c r="I59" s="204">
        <f t="shared" ca="1" si="16"/>
        <v>0.26120944135475677</v>
      </c>
      <c r="J59" s="204">
        <f t="shared" ca="1" si="16"/>
        <v>0.26634664094735916</v>
      </c>
      <c r="K59" s="204">
        <f t="shared" ca="1" si="16"/>
        <v>0.2755379105083266</v>
      </c>
      <c r="L59" s="204">
        <f t="shared" ca="1" si="16"/>
        <v>0.28080394649719542</v>
      </c>
    </row>
    <row r="60" spans="2:12" x14ac:dyDescent="0.15">
      <c r="B60" s="2"/>
      <c r="C60" s="204"/>
      <c r="D60" s="204"/>
      <c r="E60" s="204"/>
      <c r="F60" s="204"/>
      <c r="G60" s="204"/>
      <c r="H60" s="204"/>
      <c r="I60" s="204"/>
      <c r="J60" s="204"/>
      <c r="K60" s="204"/>
      <c r="L60" s="204"/>
    </row>
    <row r="61" spans="2:12" x14ac:dyDescent="0.15">
      <c r="B61" s="2" t="s">
        <v>27</v>
      </c>
      <c r="C61" s="204">
        <f t="shared" ref="C61:L66" si="17">C14/C$19</f>
        <v>0.31675327889136351</v>
      </c>
      <c r="D61" s="204">
        <f t="shared" si="17"/>
        <v>0.32123698327548122</v>
      </c>
      <c r="E61" s="204">
        <f t="shared" si="17"/>
        <v>0.3191349395608914</v>
      </c>
      <c r="F61" s="204">
        <f t="shared" si="17"/>
        <v>0.24943461487295462</v>
      </c>
      <c r="G61" s="204">
        <f t="shared" si="17"/>
        <v>0.23341708542713568</v>
      </c>
      <c r="H61" s="204">
        <f t="shared" ca="1" si="17"/>
        <v>0.23240001567549326</v>
      </c>
      <c r="I61" s="204">
        <f t="shared" ca="1" si="17"/>
        <v>0.2259854474595539</v>
      </c>
      <c r="J61" s="204">
        <f t="shared" ca="1" si="17"/>
        <v>0.21846589706728689</v>
      </c>
      <c r="K61" s="204">
        <f t="shared" ca="1" si="17"/>
        <v>0.20960037508903867</v>
      </c>
      <c r="L61" s="204">
        <f t="shared" ca="1" si="17"/>
        <v>0.20177971596158295</v>
      </c>
    </row>
    <row r="62" spans="2:12" x14ac:dyDescent="0.15">
      <c r="B62" s="2" t="s">
        <v>28</v>
      </c>
      <c r="C62" s="204">
        <f t="shared" si="17"/>
        <v>0.1738018642250268</v>
      </c>
      <c r="D62" s="204">
        <f t="shared" si="17"/>
        <v>0.17497633322814768</v>
      </c>
      <c r="E62" s="204">
        <f t="shared" si="17"/>
        <v>0.20804210180083874</v>
      </c>
      <c r="F62" s="204">
        <f t="shared" si="17"/>
        <v>0.23333776772648662</v>
      </c>
      <c r="G62" s="204">
        <f t="shared" si="17"/>
        <v>0.24020100502512562</v>
      </c>
      <c r="H62" s="204">
        <f t="shared" ca="1" si="17"/>
        <v>0.23934347944705053</v>
      </c>
      <c r="I62" s="204">
        <f t="shared" ca="1" si="17"/>
        <v>0.23330498708280403</v>
      </c>
      <c r="J62" s="204">
        <f t="shared" ca="1" si="17"/>
        <v>0.22643249490544751</v>
      </c>
      <c r="K62" s="204">
        <f t="shared" ca="1" si="17"/>
        <v>0.21839632719733165</v>
      </c>
      <c r="L62" s="204">
        <f t="shared" ca="1" si="17"/>
        <v>0.21161256663868755</v>
      </c>
    </row>
    <row r="63" spans="2:12" x14ac:dyDescent="0.15">
      <c r="B63" s="2" t="s">
        <v>29</v>
      </c>
      <c r="C63" s="204">
        <f t="shared" si="17"/>
        <v>0.10830652478759382</v>
      </c>
      <c r="D63" s="204">
        <f t="shared" si="17"/>
        <v>0.10579047017986747</v>
      </c>
      <c r="E63" s="204">
        <f t="shared" si="17"/>
        <v>0.13461064057232136</v>
      </c>
      <c r="F63" s="204">
        <f t="shared" si="17"/>
        <v>0.17739789809764533</v>
      </c>
      <c r="G63" s="204">
        <f t="shared" si="17"/>
        <v>0.18178391959798995</v>
      </c>
      <c r="H63" s="204">
        <f t="shared" ca="1" si="17"/>
        <v>0.19749891623052845</v>
      </c>
      <c r="I63" s="204">
        <f t="shared" ca="1" si="17"/>
        <v>0.20945981940334052</v>
      </c>
      <c r="J63" s="204">
        <f t="shared" ca="1" si="17"/>
        <v>0.22077784779343831</v>
      </c>
      <c r="K63" s="204">
        <f t="shared" ca="1" si="17"/>
        <v>0.23090079943790326</v>
      </c>
      <c r="L63" s="204">
        <f t="shared" ca="1" si="17"/>
        <v>0.24227573049949705</v>
      </c>
    </row>
    <row r="64" spans="2:12" x14ac:dyDescent="0.15">
      <c r="B64" s="2" t="s">
        <v>30</v>
      </c>
      <c r="C64" s="204">
        <f t="shared" si="17"/>
        <v>2.4828837746432401E-2</v>
      </c>
      <c r="D64" s="204">
        <f t="shared" si="17"/>
        <v>1.4831177027453455E-2</v>
      </c>
      <c r="E64" s="204">
        <f t="shared" si="17"/>
        <v>1.2498972124002959E-2</v>
      </c>
      <c r="F64" s="204">
        <f t="shared" si="17"/>
        <v>1.1773313822003459E-2</v>
      </c>
      <c r="G64" s="204">
        <f t="shared" si="17"/>
        <v>1.827889447236181E-2</v>
      </c>
      <c r="H64" s="204">
        <f t="shared" ca="1" si="17"/>
        <v>1.8213638211059546E-2</v>
      </c>
      <c r="I64" s="204">
        <f t="shared" ca="1" si="17"/>
        <v>1.7754119048403759E-2</v>
      </c>
      <c r="J64" s="204">
        <f t="shared" ca="1" si="17"/>
        <v>1.7231133895785886E-2</v>
      </c>
      <c r="K64" s="204">
        <f t="shared" ca="1" si="17"/>
        <v>1.6619594982851336E-2</v>
      </c>
      <c r="L64" s="204">
        <f t="shared" ca="1" si="17"/>
        <v>1.6103362157912679E-2</v>
      </c>
    </row>
    <row r="65" spans="2:12" x14ac:dyDescent="0.15">
      <c r="B65" s="3" t="s">
        <v>31</v>
      </c>
      <c r="C65" s="204">
        <f t="shared" si="17"/>
        <v>1.8477274601996205E-2</v>
      </c>
      <c r="D65" s="204">
        <f t="shared" si="17"/>
        <v>1.7197854212685389E-2</v>
      </c>
      <c r="E65" s="204">
        <f t="shared" si="17"/>
        <v>1.3814653400213798E-2</v>
      </c>
      <c r="F65" s="204">
        <f t="shared" si="17"/>
        <v>5.0086470666489288E-2</v>
      </c>
      <c r="G65" s="204">
        <f t="shared" si="17"/>
        <v>5.3831658291457286E-2</v>
      </c>
      <c r="H65" s="204">
        <f t="shared" ca="1" si="17"/>
        <v>5.3639477480680521E-2</v>
      </c>
      <c r="I65" s="204">
        <f t="shared" ca="1" si="17"/>
        <v>5.2286185651140966E-2</v>
      </c>
      <c r="J65" s="204">
        <f t="shared" ca="1" si="17"/>
        <v>5.074598539068214E-2</v>
      </c>
      <c r="K65" s="204">
        <f t="shared" ca="1" si="17"/>
        <v>4.894499278454844E-2</v>
      </c>
      <c r="L65" s="204">
        <f t="shared" ca="1" si="17"/>
        <v>4.742467824512428E-2</v>
      </c>
    </row>
    <row r="66" spans="2:12" ht="15" x14ac:dyDescent="0.15">
      <c r="B66" s="205" t="s">
        <v>32</v>
      </c>
      <c r="C66" s="204">
        <f t="shared" si="17"/>
        <v>1</v>
      </c>
      <c r="D66" s="204">
        <f t="shared" si="17"/>
        <v>1</v>
      </c>
      <c r="E66" s="204">
        <f t="shared" si="17"/>
        <v>1</v>
      </c>
      <c r="F66" s="204">
        <f t="shared" si="17"/>
        <v>1</v>
      </c>
      <c r="G66" s="204">
        <f t="shared" si="17"/>
        <v>1</v>
      </c>
      <c r="H66" s="204">
        <f t="shared" ca="1" si="17"/>
        <v>1</v>
      </c>
      <c r="I66" s="204">
        <f t="shared" ca="1" si="17"/>
        <v>1</v>
      </c>
      <c r="J66" s="204">
        <f t="shared" ca="1" si="17"/>
        <v>1</v>
      </c>
      <c r="K66" s="204">
        <f t="shared" ca="1" si="17"/>
        <v>1</v>
      </c>
      <c r="L66" s="204">
        <f t="shared" ca="1" si="17"/>
        <v>1</v>
      </c>
    </row>
    <row r="67" spans="2:12" x14ac:dyDescent="0.15">
      <c r="B67" s="2"/>
      <c r="C67" s="204"/>
      <c r="D67" s="204"/>
      <c r="E67" s="204"/>
      <c r="F67" s="204"/>
      <c r="G67" s="204"/>
      <c r="H67" s="204"/>
      <c r="I67" s="204"/>
      <c r="J67" s="204"/>
      <c r="K67" s="204"/>
      <c r="L67" s="204"/>
    </row>
    <row r="68" spans="2:12" x14ac:dyDescent="0.15">
      <c r="B68" s="16" t="s">
        <v>33</v>
      </c>
      <c r="C68" s="207"/>
      <c r="D68" s="207"/>
      <c r="E68" s="207"/>
      <c r="F68" s="207"/>
      <c r="G68" s="207"/>
      <c r="H68" s="207"/>
      <c r="I68" s="207"/>
      <c r="J68" s="207"/>
      <c r="K68" s="207"/>
      <c r="L68" s="207"/>
    </row>
    <row r="69" spans="2:12" x14ac:dyDescent="0.15">
      <c r="B69" s="2" t="s">
        <v>34</v>
      </c>
      <c r="C69" s="204"/>
      <c r="D69" s="204"/>
      <c r="E69" s="204"/>
      <c r="F69" s="204"/>
      <c r="G69" s="204"/>
      <c r="H69" s="204"/>
      <c r="I69" s="204"/>
      <c r="J69" s="204"/>
      <c r="K69" s="204"/>
      <c r="L69" s="204"/>
    </row>
    <row r="70" spans="2:12" x14ac:dyDescent="0.15">
      <c r="B70" s="3" t="s">
        <v>35</v>
      </c>
      <c r="C70" s="204">
        <f t="shared" ref="C70:L75" si="18">C23/C$47</f>
        <v>1.0723418295801369E-3</v>
      </c>
      <c r="D70" s="204">
        <f t="shared" si="18"/>
        <v>8.6778163458504259E-4</v>
      </c>
      <c r="E70" s="204">
        <f t="shared" si="18"/>
        <v>9.8676095715812852E-4</v>
      </c>
      <c r="F70" s="204">
        <f t="shared" si="18"/>
        <v>1.7294133297858189E-2</v>
      </c>
      <c r="G70" s="204">
        <f t="shared" si="18"/>
        <v>1.620603015075377E-2</v>
      </c>
      <c r="H70" s="204">
        <f t="shared" ca="1" si="18"/>
        <v>1.6148174084032175E-2</v>
      </c>
      <c r="I70" s="204">
        <f t="shared" ca="1" si="18"/>
        <v>1.5740765341883744E-2</v>
      </c>
      <c r="J70" s="204">
        <f t="shared" ca="1" si="18"/>
        <v>1.5277087783892643E-2</v>
      </c>
      <c r="K70" s="204">
        <f t="shared" ca="1" si="18"/>
        <v>1.4734898644589845E-2</v>
      </c>
      <c r="L70" s="204">
        <f t="shared" ca="1" si="18"/>
        <v>1.4277207686396804E-2</v>
      </c>
    </row>
    <row r="71" spans="2:12" x14ac:dyDescent="0.15">
      <c r="B71" s="3" t="s">
        <v>36</v>
      </c>
      <c r="C71" s="204">
        <f t="shared" si="18"/>
        <v>0</v>
      </c>
      <c r="D71" s="204">
        <f t="shared" si="18"/>
        <v>0</v>
      </c>
      <c r="E71" s="204">
        <f t="shared" si="18"/>
        <v>0</v>
      </c>
      <c r="F71" s="204">
        <f t="shared" si="18"/>
        <v>1.689503791406146E-2</v>
      </c>
      <c r="G71" s="204">
        <f t="shared" si="18"/>
        <v>5.6532663316582912E-4</v>
      </c>
      <c r="H71" s="204">
        <f t="shared" ca="1" si="18"/>
        <v>2.5849596498857704E-2</v>
      </c>
      <c r="I71" s="204">
        <f t="shared" ca="1" si="18"/>
        <v>5.4665603667937344E-2</v>
      </c>
      <c r="J71" s="204">
        <f t="shared" ca="1" si="18"/>
        <v>2.9488332234025336E-2</v>
      </c>
      <c r="K71" s="204">
        <f t="shared" ca="1" si="18"/>
        <v>7.4245613325452705E-3</v>
      </c>
      <c r="L71" s="204">
        <f t="shared" ca="1" si="18"/>
        <v>5.5338014288359707E-3</v>
      </c>
    </row>
    <row r="72" spans="2:12" x14ac:dyDescent="0.15">
      <c r="B72" s="3" t="s">
        <v>37</v>
      </c>
      <c r="C72" s="204">
        <f t="shared" si="18"/>
        <v>9.2716324342159526E-2</v>
      </c>
      <c r="D72" s="204">
        <f t="shared" si="18"/>
        <v>9.5613758283370154E-2</v>
      </c>
      <c r="E72" s="204">
        <f t="shared" si="18"/>
        <v>0.10048515747060274</v>
      </c>
      <c r="F72" s="204">
        <f t="shared" si="18"/>
        <v>8.2280164959425306E-2</v>
      </c>
      <c r="G72" s="204">
        <f t="shared" si="18"/>
        <v>8.7499999999999994E-2</v>
      </c>
      <c r="H72" s="204">
        <f t="shared" ca="1" si="18"/>
        <v>7.4896270376343763E-2</v>
      </c>
      <c r="I72" s="204">
        <f t="shared" ca="1" si="18"/>
        <v>0.10258126768749756</v>
      </c>
      <c r="J72" s="204">
        <f t="shared" ca="1" si="18"/>
        <v>6.9462766329749195E-2</v>
      </c>
      <c r="K72" s="204">
        <f t="shared" ca="1" si="18"/>
        <v>0.11376215961873699</v>
      </c>
      <c r="L72" s="204">
        <f t="shared" ca="1" si="18"/>
        <v>6.4954902350005075E-2</v>
      </c>
    </row>
    <row r="73" spans="2:12" x14ac:dyDescent="0.15">
      <c r="B73" s="3" t="s">
        <v>38</v>
      </c>
      <c r="C73" s="204">
        <f t="shared" si="18"/>
        <v>3.6377134372680031E-2</v>
      </c>
      <c r="D73" s="204">
        <f t="shared" si="18"/>
        <v>2.7926790785736826E-2</v>
      </c>
      <c r="E73" s="204">
        <f t="shared" si="18"/>
        <v>3.37965627826659E-2</v>
      </c>
      <c r="F73" s="204">
        <f t="shared" si="18"/>
        <v>2.4610882000798192E-2</v>
      </c>
      <c r="G73" s="204">
        <f t="shared" si="18"/>
        <v>2.5314070351758793E-2</v>
      </c>
      <c r="H73" s="204">
        <f t="shared" ca="1" si="18"/>
        <v>2.6733068861258733E-2</v>
      </c>
      <c r="I73" s="204">
        <f t="shared" ca="1" si="18"/>
        <v>2.7289389208266929E-2</v>
      </c>
      <c r="J73" s="204">
        <f t="shared" ca="1" si="18"/>
        <v>2.7779512578870597E-2</v>
      </c>
      <c r="K73" s="204">
        <f t="shared" ca="1" si="18"/>
        <v>2.8146426214187167E-2</v>
      </c>
      <c r="L73" s="204">
        <f t="shared" ca="1" si="18"/>
        <v>2.8693794599456247E-2</v>
      </c>
    </row>
    <row r="74" spans="2:12" x14ac:dyDescent="0.15">
      <c r="B74" s="3" t="s">
        <v>39</v>
      </c>
      <c r="C74" s="204">
        <f t="shared" si="18"/>
        <v>0.14245648766806895</v>
      </c>
      <c r="D74" s="204">
        <f t="shared" si="18"/>
        <v>0.14444619753865573</v>
      </c>
      <c r="E74" s="204">
        <f t="shared" si="18"/>
        <v>0.13946221527834882</v>
      </c>
      <c r="F74" s="204">
        <f t="shared" si="18"/>
        <v>0.1275109751230544</v>
      </c>
      <c r="G74" s="204">
        <f t="shared" si="18"/>
        <v>0.14704773869346735</v>
      </c>
      <c r="H74" s="204">
        <f t="shared" ca="1" si="18"/>
        <v>0.12935355900609063</v>
      </c>
      <c r="I74" s="204">
        <f t="shared" ca="1" si="18"/>
        <v>0.1320454316529045</v>
      </c>
      <c r="J74" s="204">
        <f t="shared" ca="1" si="18"/>
        <v>0.13441699634937385</v>
      </c>
      <c r="K74" s="204">
        <f t="shared" ca="1" si="18"/>
        <v>0.13619238490735724</v>
      </c>
      <c r="L74" s="204">
        <f t="shared" ca="1" si="18"/>
        <v>0.13884094161027216</v>
      </c>
    </row>
    <row r="75" spans="2:12" x14ac:dyDescent="0.15">
      <c r="B75" s="3" t="s">
        <v>40</v>
      </c>
      <c r="C75" s="204">
        <f t="shared" si="18"/>
        <v>0.27262228821248868</v>
      </c>
      <c r="D75" s="204">
        <f t="shared" si="18"/>
        <v>0.26885452824234773</v>
      </c>
      <c r="E75" s="204">
        <f t="shared" si="18"/>
        <v>0.27473069648877557</v>
      </c>
      <c r="F75" s="204">
        <f t="shared" si="18"/>
        <v>0.26859119329519754</v>
      </c>
      <c r="G75" s="204">
        <f t="shared" si="18"/>
        <v>0.27663316582914571</v>
      </c>
      <c r="H75" s="204">
        <f t="shared" ca="1" si="18"/>
        <v>0.27298066882658301</v>
      </c>
      <c r="I75" s="204">
        <f t="shared" ca="1" si="18"/>
        <v>0.3323224575584901</v>
      </c>
      <c r="J75" s="204">
        <f t="shared" ca="1" si="18"/>
        <v>0.27642469527591162</v>
      </c>
      <c r="K75" s="204">
        <f t="shared" ca="1" si="18"/>
        <v>0.30026043071741654</v>
      </c>
      <c r="L75" s="204">
        <f t="shared" ca="1" si="18"/>
        <v>0.25230064767496629</v>
      </c>
    </row>
    <row r="76" spans="2:12" x14ac:dyDescent="0.15">
      <c r="B76" s="2"/>
      <c r="C76" s="204"/>
      <c r="D76" s="204"/>
      <c r="E76" s="204"/>
      <c r="F76" s="204"/>
      <c r="G76" s="204"/>
      <c r="H76" s="204"/>
      <c r="I76" s="204"/>
      <c r="J76" s="204"/>
      <c r="K76" s="204"/>
      <c r="L76" s="204"/>
    </row>
    <row r="77" spans="2:12" x14ac:dyDescent="0.15">
      <c r="B77" s="16" t="s">
        <v>208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</row>
    <row r="78" spans="2:12" x14ac:dyDescent="0.15">
      <c r="B78" s="2"/>
      <c r="C78" s="204"/>
      <c r="D78" s="204"/>
      <c r="E78" s="204"/>
      <c r="F78" s="204"/>
      <c r="G78" s="204"/>
      <c r="H78" s="204"/>
      <c r="I78" s="204"/>
      <c r="J78" s="204"/>
      <c r="K78" s="204"/>
      <c r="L78" s="204"/>
    </row>
    <row r="79" spans="2:12" x14ac:dyDescent="0.15">
      <c r="B79" s="2" t="s">
        <v>41</v>
      </c>
      <c r="C79" s="204">
        <f t="shared" ref="C79:L82" si="19">C32/C$47</f>
        <v>0.53782067145096102</v>
      </c>
      <c r="D79" s="204">
        <f t="shared" si="19"/>
        <v>0.51798674660776267</v>
      </c>
      <c r="E79" s="204">
        <f t="shared" si="19"/>
        <v>0.52248992681522899</v>
      </c>
      <c r="F79" s="204">
        <f t="shared" si="19"/>
        <v>0.48776107489690035</v>
      </c>
      <c r="G79" s="204">
        <f t="shared" si="19"/>
        <v>0.46067839195979898</v>
      </c>
      <c r="H79" s="204">
        <f t="shared" ca="1" si="19"/>
        <v>0.39425328897410333</v>
      </c>
      <c r="I79" s="204">
        <f t="shared" ca="1" si="19"/>
        <v>0.32964091140386775</v>
      </c>
      <c r="J79" s="204">
        <f t="shared" ca="1" si="19"/>
        <v>0.29044230844958691</v>
      </c>
      <c r="K79" s="204">
        <f t="shared" ca="1" si="19"/>
        <v>0.27270984894541284</v>
      </c>
      <c r="L79" s="204">
        <f t="shared" ca="1" si="19"/>
        <v>0.25870521679808162</v>
      </c>
    </row>
    <row r="80" spans="2:12" x14ac:dyDescent="0.15">
      <c r="B80" s="2" t="s">
        <v>30</v>
      </c>
      <c r="C80" s="204">
        <f t="shared" si="19"/>
        <v>2.0292006928977976E-2</v>
      </c>
      <c r="D80" s="204">
        <f t="shared" si="19"/>
        <v>1.6093404859577155E-2</v>
      </c>
      <c r="E80" s="204">
        <f t="shared" si="19"/>
        <v>1.9324068744346681E-2</v>
      </c>
      <c r="F80" s="204">
        <f t="shared" si="19"/>
        <v>3.3723559930823467E-2</v>
      </c>
      <c r="G80" s="204">
        <f t="shared" si="19"/>
        <v>2.6758793969849246E-2</v>
      </c>
      <c r="H80" s="204">
        <f t="shared" ca="1" si="19"/>
        <v>2.6663264185262426E-2</v>
      </c>
      <c r="I80" s="204">
        <f t="shared" ca="1" si="19"/>
        <v>2.5990566029621999E-2</v>
      </c>
      <c r="J80" s="204">
        <f t="shared" ca="1" si="19"/>
        <v>2.5224958898985527E-2</v>
      </c>
      <c r="K80" s="204">
        <f t="shared" ca="1" si="19"/>
        <v>2.4329716366648348E-2</v>
      </c>
      <c r="L80" s="204">
        <f t="shared" ca="1" si="19"/>
        <v>2.3573994086841233E-2</v>
      </c>
    </row>
    <row r="81" spans="2:12" ht="15" x14ac:dyDescent="0.15">
      <c r="B81" s="205" t="s">
        <v>42</v>
      </c>
      <c r="C81" s="204">
        <f t="shared" si="19"/>
        <v>0.16786274024581374</v>
      </c>
      <c r="D81" s="204">
        <f t="shared" si="19"/>
        <v>0.17789523508993374</v>
      </c>
      <c r="E81" s="204">
        <f t="shared" si="19"/>
        <v>0.16725598223830276</v>
      </c>
      <c r="F81" s="204">
        <f t="shared" si="19"/>
        <v>0.17280830118398297</v>
      </c>
      <c r="G81" s="204">
        <f t="shared" si="19"/>
        <v>0.16677135678391961</v>
      </c>
      <c r="H81" s="204">
        <f t="shared" ca="1" si="19"/>
        <v>0.16617597749265667</v>
      </c>
      <c r="I81" s="204">
        <f t="shared" ca="1" si="19"/>
        <v>0.16198345729729202</v>
      </c>
      <c r="J81" s="204">
        <f t="shared" ca="1" si="19"/>
        <v>0.15721189172959291</v>
      </c>
      <c r="K81" s="204">
        <f t="shared" ca="1" si="19"/>
        <v>0.15163238721467456</v>
      </c>
      <c r="L81" s="204">
        <f t="shared" ca="1" si="19"/>
        <v>0.14692242793559501</v>
      </c>
    </row>
    <row r="82" spans="2:12" x14ac:dyDescent="0.15">
      <c r="B82" s="206" t="s">
        <v>43</v>
      </c>
      <c r="C82" s="204">
        <f t="shared" si="19"/>
        <v>0.99859770683824134</v>
      </c>
      <c r="D82" s="204">
        <f t="shared" si="19"/>
        <v>0.98082991479962134</v>
      </c>
      <c r="E82" s="204">
        <f t="shared" si="19"/>
        <v>0.98380067428665408</v>
      </c>
      <c r="F82" s="204">
        <f t="shared" si="19"/>
        <v>0.96288412930690437</v>
      </c>
      <c r="G82" s="204">
        <f t="shared" si="19"/>
        <v>0.93084170854271353</v>
      </c>
      <c r="H82" s="204">
        <f t="shared" ca="1" si="19"/>
        <v>0.91392977133738118</v>
      </c>
      <c r="I82" s="204">
        <f t="shared" ca="1" si="19"/>
        <v>0.90140860940075329</v>
      </c>
      <c r="J82" s="204">
        <f t="shared" ca="1" si="19"/>
        <v>0.89224740553313331</v>
      </c>
      <c r="K82" s="204">
        <f t="shared" ca="1" si="19"/>
        <v>0.88680281825872787</v>
      </c>
      <c r="L82" s="204">
        <f t="shared" ca="1" si="19"/>
        <v>0.88387578733121219</v>
      </c>
    </row>
    <row r="83" spans="2:12" x14ac:dyDescent="0.15">
      <c r="B83" s="2" t="s">
        <v>44</v>
      </c>
      <c r="C83" s="204"/>
      <c r="D83" s="204"/>
      <c r="E83" s="204"/>
      <c r="F83" s="204"/>
      <c r="G83" s="204"/>
      <c r="H83" s="204"/>
      <c r="I83" s="204"/>
      <c r="J83" s="204"/>
      <c r="K83" s="204"/>
      <c r="L83" s="204"/>
    </row>
    <row r="84" spans="2:12" x14ac:dyDescent="0.15">
      <c r="B84" s="3" t="s">
        <v>45</v>
      </c>
      <c r="C84" s="204">
        <f t="shared" ref="C84:L84" si="20">C37/C$47</f>
        <v>0</v>
      </c>
      <c r="D84" s="204">
        <f t="shared" si="20"/>
        <v>0</v>
      </c>
      <c r="E84" s="204">
        <f t="shared" si="20"/>
        <v>0</v>
      </c>
      <c r="F84" s="204">
        <f t="shared" si="20"/>
        <v>0</v>
      </c>
      <c r="G84" s="204">
        <f t="shared" si="20"/>
        <v>0</v>
      </c>
      <c r="H84" s="204">
        <f t="shared" ca="1" si="20"/>
        <v>0</v>
      </c>
      <c r="I84" s="204">
        <f t="shared" ca="1" si="20"/>
        <v>0</v>
      </c>
      <c r="J84" s="204">
        <f t="shared" ca="1" si="20"/>
        <v>0</v>
      </c>
      <c r="K84" s="204">
        <f t="shared" ca="1" si="20"/>
        <v>0</v>
      </c>
      <c r="L84" s="204">
        <f t="shared" ca="1" si="20"/>
        <v>0</v>
      </c>
    </row>
    <row r="85" spans="2:12" x14ac:dyDescent="0.15">
      <c r="B85" s="3" t="s">
        <v>46</v>
      </c>
      <c r="C85" s="204">
        <f t="shared" ref="C85:L85" si="21">C38/C$47</f>
        <v>0.12092716324342159</v>
      </c>
      <c r="D85" s="204">
        <f t="shared" si="21"/>
        <v>0.11565162511833386</v>
      </c>
      <c r="E85" s="204">
        <f t="shared" si="21"/>
        <v>0.12054929693281803</v>
      </c>
      <c r="F85" s="204">
        <f t="shared" si="21"/>
        <v>9.7512305441000396E-2</v>
      </c>
      <c r="G85" s="204">
        <f t="shared" si="21"/>
        <v>9.2085427135678397E-2</v>
      </c>
      <c r="H85" s="204">
        <f t="shared" ca="1" si="21"/>
        <v>0</v>
      </c>
      <c r="I85" s="204">
        <f t="shared" ca="1" si="21"/>
        <v>0</v>
      </c>
      <c r="J85" s="204">
        <f t="shared" ca="1" si="21"/>
        <v>0</v>
      </c>
      <c r="K85" s="204">
        <f t="shared" ca="1" si="21"/>
        <v>0</v>
      </c>
      <c r="L85" s="204">
        <f t="shared" ca="1" si="21"/>
        <v>0</v>
      </c>
    </row>
    <row r="86" spans="2:12" x14ac:dyDescent="0.15">
      <c r="B86" s="3" t="s">
        <v>47</v>
      </c>
      <c r="C86" s="204">
        <f t="shared" ref="C86:L86" si="22">C39/C$47</f>
        <v>0.13948692567846244</v>
      </c>
      <c r="D86" s="204">
        <f t="shared" si="22"/>
        <v>0.15651625118333859</v>
      </c>
      <c r="E86" s="204">
        <f t="shared" si="22"/>
        <v>0.18123509579804292</v>
      </c>
      <c r="F86" s="204">
        <f t="shared" si="22"/>
        <v>0.16549155248104297</v>
      </c>
      <c r="G86" s="204">
        <f t="shared" si="22"/>
        <v>0.18649497487437186</v>
      </c>
      <c r="H86" s="204">
        <f t="shared" ca="1" si="22"/>
        <v>0</v>
      </c>
      <c r="I86" s="204">
        <f t="shared" ca="1" si="22"/>
        <v>0</v>
      </c>
      <c r="J86" s="204">
        <f t="shared" ca="1" si="22"/>
        <v>0</v>
      </c>
      <c r="K86" s="204">
        <f t="shared" ca="1" si="22"/>
        <v>0</v>
      </c>
      <c r="L86" s="204">
        <f t="shared" ca="1" si="22"/>
        <v>0</v>
      </c>
    </row>
    <row r="87" spans="2:12" x14ac:dyDescent="0.15">
      <c r="B87" s="3" t="s">
        <v>48</v>
      </c>
      <c r="C87" s="204">
        <f t="shared" ref="C87:L87" si="23">C40/C$47</f>
        <v>1.6433226099150375</v>
      </c>
      <c r="D87" s="204">
        <f t="shared" si="23"/>
        <v>1.6196749763332281</v>
      </c>
      <c r="E87" s="204">
        <f t="shared" si="23"/>
        <v>1.777403174081079</v>
      </c>
      <c r="F87" s="204">
        <f t="shared" si="23"/>
        <v>1.4966742051350272</v>
      </c>
      <c r="G87" s="204">
        <f t="shared" si="23"/>
        <v>1.4886306532663316</v>
      </c>
      <c r="H87" s="204">
        <f t="shared" ca="1" si="23"/>
        <v>0</v>
      </c>
      <c r="I87" s="204">
        <f t="shared" ca="1" si="23"/>
        <v>0</v>
      </c>
      <c r="J87" s="204">
        <f t="shared" ca="1" si="23"/>
        <v>0</v>
      </c>
      <c r="K87" s="204">
        <f t="shared" ca="1" si="23"/>
        <v>0</v>
      </c>
      <c r="L87" s="204">
        <f t="shared" ca="1" si="23"/>
        <v>0</v>
      </c>
    </row>
    <row r="88" spans="2:12" x14ac:dyDescent="0.15">
      <c r="B88" s="3" t="s">
        <v>49</v>
      </c>
      <c r="C88" s="204">
        <f t="shared" ref="C88:L88" si="24">C41/C$47</f>
        <v>-0.34479914212653634</v>
      </c>
      <c r="D88" s="204">
        <f t="shared" si="24"/>
        <v>-0.30411801830230356</v>
      </c>
      <c r="E88" s="204">
        <f t="shared" si="24"/>
        <v>-0.34437957404818681</v>
      </c>
      <c r="F88" s="204">
        <f t="shared" si="24"/>
        <v>-0.28422242916056939</v>
      </c>
      <c r="G88" s="204">
        <f t="shared" si="24"/>
        <v>-0.27292713567839194</v>
      </c>
      <c r="H88" s="204">
        <f t="shared" ca="1" si="24"/>
        <v>0</v>
      </c>
      <c r="I88" s="204">
        <f t="shared" ca="1" si="24"/>
        <v>0</v>
      </c>
      <c r="J88" s="204">
        <f t="shared" ca="1" si="24"/>
        <v>0</v>
      </c>
      <c r="K88" s="204">
        <f t="shared" ca="1" si="24"/>
        <v>0</v>
      </c>
      <c r="L88" s="204">
        <f t="shared" ca="1" si="24"/>
        <v>0</v>
      </c>
    </row>
    <row r="89" spans="2:12" x14ac:dyDescent="0.15">
      <c r="B89" s="3" t="s">
        <v>50</v>
      </c>
      <c r="C89" s="204">
        <f t="shared" ref="C89:L89" si="25">C42/C$47</f>
        <v>-5.774148313123814E-4</v>
      </c>
      <c r="D89" s="204">
        <f t="shared" si="25"/>
        <v>-3.9444619753865575E-4</v>
      </c>
      <c r="E89" s="204">
        <f t="shared" si="25"/>
        <v>-2.4669023928953213E-4</v>
      </c>
      <c r="F89" s="204">
        <f t="shared" si="25"/>
        <v>-1.3303179459890914E-4</v>
      </c>
      <c r="G89" s="204">
        <f t="shared" si="25"/>
        <v>-6.28140703517588E-5</v>
      </c>
      <c r="H89" s="204">
        <f t="shared" ca="1" si="25"/>
        <v>0</v>
      </c>
      <c r="I89" s="204">
        <f t="shared" ca="1" si="25"/>
        <v>0</v>
      </c>
      <c r="J89" s="204">
        <f t="shared" ca="1" si="25"/>
        <v>0</v>
      </c>
      <c r="K89" s="204">
        <f t="shared" ca="1" si="25"/>
        <v>0</v>
      </c>
      <c r="L89" s="204">
        <f t="shared" ca="1" si="25"/>
        <v>0</v>
      </c>
    </row>
    <row r="90" spans="2:12" ht="15" x14ac:dyDescent="0.15">
      <c r="B90" s="205" t="s">
        <v>51</v>
      </c>
      <c r="C90" s="204">
        <f t="shared" ref="C90:L90" si="26">C43/C$47</f>
        <v>-1.5784046853089169</v>
      </c>
      <c r="D90" s="204">
        <f t="shared" si="26"/>
        <v>-1.5920637425055222</v>
      </c>
      <c r="E90" s="204">
        <f t="shared" si="26"/>
        <v>-1.7429487706603075</v>
      </c>
      <c r="F90" s="204">
        <f t="shared" si="26"/>
        <v>-1.4675402421178663</v>
      </c>
      <c r="G90" s="204">
        <f t="shared" si="26"/>
        <v>-1.4475502512562815</v>
      </c>
      <c r="H90" s="204">
        <f t="shared" ca="1" si="26"/>
        <v>0</v>
      </c>
      <c r="I90" s="204">
        <f t="shared" ca="1" si="26"/>
        <v>0</v>
      </c>
      <c r="J90" s="204">
        <f t="shared" ca="1" si="26"/>
        <v>0</v>
      </c>
      <c r="K90" s="204">
        <f t="shared" ca="1" si="26"/>
        <v>0</v>
      </c>
      <c r="L90" s="204">
        <f t="shared" ca="1" si="26"/>
        <v>0</v>
      </c>
    </row>
    <row r="91" spans="2:12" x14ac:dyDescent="0.15">
      <c r="B91" s="3" t="s">
        <v>52</v>
      </c>
      <c r="C91" s="204">
        <f t="shared" ref="C91:L91" si="27">C44/C$47</f>
        <v>-2.0044543429844099E-2</v>
      </c>
      <c r="D91" s="204">
        <f t="shared" si="27"/>
        <v>-4.7333543704638683E-3</v>
      </c>
      <c r="E91" s="204">
        <f t="shared" si="27"/>
        <v>-8.3874681358440915E-3</v>
      </c>
      <c r="F91" s="204">
        <f t="shared" si="27"/>
        <v>7.782359984036185E-3</v>
      </c>
      <c r="G91" s="204">
        <f t="shared" si="27"/>
        <v>4.6670854271356782E-2</v>
      </c>
      <c r="H91" s="204">
        <f t="shared" ca="1" si="27"/>
        <v>5.2723458538224188E-2</v>
      </c>
      <c r="I91" s="204">
        <f t="shared" ca="1" si="27"/>
        <v>5.488546362403697E-2</v>
      </c>
      <c r="J91" s="204">
        <f t="shared" ca="1" si="27"/>
        <v>5.3904096895344221E-2</v>
      </c>
      <c r="K91" s="204">
        <f t="shared" ca="1" si="27"/>
        <v>4.9647949524832646E-2</v>
      </c>
      <c r="L91" s="204">
        <f t="shared" ca="1" si="27"/>
        <v>4.2696739839216007E-2</v>
      </c>
    </row>
    <row r="92" spans="2:12" x14ac:dyDescent="0.15">
      <c r="B92" s="206" t="s">
        <v>53</v>
      </c>
      <c r="C92" s="204">
        <f t="shared" ref="C92:L92" si="28">C45/C$47</f>
        <v>2.1446836591602739E-2</v>
      </c>
      <c r="D92" s="204">
        <f t="shared" si="28"/>
        <v>2.3903439570842538E-2</v>
      </c>
      <c r="E92" s="204">
        <f t="shared" si="28"/>
        <v>2.4586793849190033E-2</v>
      </c>
      <c r="F92" s="204">
        <f t="shared" si="28"/>
        <v>2.9333510709059464E-2</v>
      </c>
      <c r="G92" s="204">
        <f t="shared" si="28"/>
        <v>2.2487437185929649E-2</v>
      </c>
      <c r="H92" s="204">
        <f t="shared" ca="1" si="28"/>
        <v>3.3346770124394617E-2</v>
      </c>
      <c r="I92" s="204">
        <f t="shared" ca="1" si="28"/>
        <v>4.3705926975209614E-2</v>
      </c>
      <c r="J92" s="204">
        <f t="shared" ca="1" si="28"/>
        <v>5.3848497571522567E-2</v>
      </c>
      <c r="K92" s="204">
        <f t="shared" ca="1" si="28"/>
        <v>6.3549232216439558E-2</v>
      </c>
      <c r="L92" s="204">
        <f t="shared" ca="1" si="28"/>
        <v>7.3427472829571711E-2</v>
      </c>
    </row>
    <row r="93" spans="2:12" ht="15" x14ac:dyDescent="0.15">
      <c r="B93" s="205" t="s">
        <v>54</v>
      </c>
      <c r="C93" s="204">
        <f t="shared" ref="C93:L93" si="29">C46/C$47</f>
        <v>1.4022931617586405E-3</v>
      </c>
      <c r="D93" s="204">
        <f t="shared" si="29"/>
        <v>1.9170085200378668E-2</v>
      </c>
      <c r="E93" s="204">
        <f t="shared" si="29"/>
        <v>1.6199325713345942E-2</v>
      </c>
      <c r="F93" s="204">
        <f t="shared" si="29"/>
        <v>3.7115870693095653E-2</v>
      </c>
      <c r="G93" s="204">
        <f t="shared" si="29"/>
        <v>6.9158291457286428E-2</v>
      </c>
      <c r="H93" s="204">
        <f t="shared" ca="1" si="29"/>
        <v>8.6070228662618806E-2</v>
      </c>
      <c r="I93" s="204">
        <f t="shared" ca="1" si="29"/>
        <v>9.8591390599246584E-2</v>
      </c>
      <c r="J93" s="204">
        <f t="shared" ca="1" si="29"/>
        <v>0.10775259446686679</v>
      </c>
      <c r="K93" s="204">
        <f t="shared" ca="1" si="29"/>
        <v>0.1131971817412722</v>
      </c>
      <c r="L93" s="204">
        <f t="shared" ca="1" si="29"/>
        <v>0.11612421266878771</v>
      </c>
    </row>
    <row r="94" spans="2:12" ht="15" thickBot="1" x14ac:dyDescent="0.2">
      <c r="B94" s="130" t="s">
        <v>55</v>
      </c>
      <c r="C94" s="244">
        <f t="shared" ref="C94:L94" si="30">C47/C$47</f>
        <v>1</v>
      </c>
      <c r="D94" s="244">
        <f t="shared" si="30"/>
        <v>1</v>
      </c>
      <c r="E94" s="244">
        <f t="shared" si="30"/>
        <v>1</v>
      </c>
      <c r="F94" s="244">
        <f t="shared" si="30"/>
        <v>1</v>
      </c>
      <c r="G94" s="244">
        <f t="shared" si="30"/>
        <v>1</v>
      </c>
      <c r="H94" s="244">
        <f t="shared" ca="1" si="30"/>
        <v>1</v>
      </c>
      <c r="I94" s="244">
        <f t="shared" ca="1" si="30"/>
        <v>1</v>
      </c>
      <c r="J94" s="244">
        <f t="shared" ca="1" si="30"/>
        <v>1</v>
      </c>
      <c r="K94" s="244">
        <f t="shared" ca="1" si="30"/>
        <v>1</v>
      </c>
      <c r="L94" s="244">
        <f t="shared" ca="1" si="30"/>
        <v>1</v>
      </c>
    </row>
    <row r="97" spans="2:12" x14ac:dyDescent="0.15">
      <c r="B97" s="192" t="s">
        <v>230</v>
      </c>
      <c r="C97" s="193"/>
      <c r="D97" s="193"/>
      <c r="E97" s="193"/>
      <c r="F97" s="193"/>
      <c r="G97" s="193"/>
      <c r="H97" s="193"/>
      <c r="I97" s="193"/>
      <c r="J97" s="193"/>
      <c r="K97" s="193"/>
      <c r="L97" s="193"/>
    </row>
    <row r="98" spans="2:12" x14ac:dyDescent="0.15">
      <c r="B98" s="15" t="s">
        <v>231</v>
      </c>
      <c r="C98" s="194">
        <f t="shared" ref="C98:L98" si="31">C12/C28</f>
        <v>1.3125567322239031</v>
      </c>
      <c r="D98" s="194">
        <f t="shared" si="31"/>
        <v>1.3612089201877935</v>
      </c>
      <c r="E98" s="194">
        <f t="shared" si="31"/>
        <v>1.1352888356779407</v>
      </c>
      <c r="F98" s="194">
        <f t="shared" si="31"/>
        <v>1.0349182763744429</v>
      </c>
      <c r="G98" s="194">
        <f t="shared" si="31"/>
        <v>0.98501362397820158</v>
      </c>
      <c r="H98" s="194">
        <f t="shared" ca="1" si="31"/>
        <v>0.94843519164964174</v>
      </c>
      <c r="I98" s="194">
        <f t="shared" ca="1" si="31"/>
        <v>0.78601200554970885</v>
      </c>
      <c r="J98" s="194">
        <f t="shared" ca="1" si="31"/>
        <v>0.96354141109392177</v>
      </c>
      <c r="K98" s="194">
        <f t="shared" ca="1" si="31"/>
        <v>0.91766307618349818</v>
      </c>
      <c r="L98" s="194">
        <f t="shared" ca="1" si="31"/>
        <v>1.1129735459853012</v>
      </c>
    </row>
    <row r="99" spans="2:12" x14ac:dyDescent="0.15">
      <c r="B99" s="15" t="s">
        <v>232</v>
      </c>
      <c r="C99" s="195">
        <f t="shared" ref="C99:F99" si="32">(C8+C9)/C28</f>
        <v>0.82481089258698936</v>
      </c>
      <c r="D99" s="195">
        <f t="shared" si="32"/>
        <v>0.88468309859154926</v>
      </c>
      <c r="E99" s="195">
        <f t="shared" si="32"/>
        <v>0.63633642621969466</v>
      </c>
      <c r="F99" s="195">
        <f t="shared" si="32"/>
        <v>0.57528479445269931</v>
      </c>
      <c r="G99" s="195">
        <f>(G8+G9)/G28</f>
        <v>0.48864668483197093</v>
      </c>
      <c r="H99" s="195">
        <f t="shared" ref="H99:L99" ca="1" si="33">(H8+H9)/H28</f>
        <v>0.47394576581952735</v>
      </c>
      <c r="I99" s="195">
        <f t="shared" ca="1" si="33"/>
        <v>0.34839947367277968</v>
      </c>
      <c r="J99" s="195">
        <f t="shared" ca="1" si="33"/>
        <v>0.47382161104534309</v>
      </c>
      <c r="K99" s="195">
        <f t="shared" ca="1" si="33"/>
        <v>0.41959884772387829</v>
      </c>
      <c r="L99" s="195">
        <f t="shared" ca="1" si="33"/>
        <v>0.55567872829656995</v>
      </c>
    </row>
    <row r="100" spans="2:12" x14ac:dyDescent="0.15">
      <c r="B100" s="15" t="s">
        <v>233</v>
      </c>
      <c r="C100" s="195">
        <f t="shared" ref="C100:F100" si="34">C8/C28</f>
        <v>0.39788199697428139</v>
      </c>
      <c r="D100" s="195">
        <f t="shared" si="34"/>
        <v>0.45041079812206575</v>
      </c>
      <c r="E100" s="195">
        <f t="shared" si="34"/>
        <v>0.21730020951810836</v>
      </c>
      <c r="F100" s="195">
        <f t="shared" si="34"/>
        <v>0.21867261020307083</v>
      </c>
      <c r="G100" s="195">
        <f>G8/G28</f>
        <v>0.20163487738419619</v>
      </c>
      <c r="H100" s="195">
        <f t="shared" ref="H100:L100" ca="1" si="35">H8/H28</f>
        <v>0.1146414914656356</v>
      </c>
      <c r="I100" s="195">
        <f t="shared" ca="1" si="35"/>
        <v>9.1794455944428921E-2</v>
      </c>
      <c r="J100" s="195">
        <f t="shared" ca="1" si="35"/>
        <v>0.10710605737145865</v>
      </c>
      <c r="K100" s="195">
        <f t="shared" ca="1" si="35"/>
        <v>0.12387788067621618</v>
      </c>
      <c r="L100" s="195">
        <f t="shared" ca="1" si="35"/>
        <v>0.14284650823845868</v>
      </c>
    </row>
    <row r="102" spans="2:12" x14ac:dyDescent="0.15">
      <c r="B102" s="15" t="s">
        <v>234</v>
      </c>
      <c r="C102" s="110">
        <f>IS!C6</f>
        <v>15195</v>
      </c>
      <c r="D102" s="110">
        <f>IS!D6</f>
        <v>15454</v>
      </c>
      <c r="E102" s="110">
        <f>IS!E6</f>
        <v>15544</v>
      </c>
      <c r="F102" s="110">
        <f>IS!F6</f>
        <v>15693</v>
      </c>
      <c r="G102" s="110">
        <f>IS!G6</f>
        <v>16471</v>
      </c>
      <c r="H102" s="110">
        <f>IS!H6</f>
        <v>17222.39</v>
      </c>
      <c r="I102" s="110">
        <f>IS!I6</f>
        <v>18035.8243</v>
      </c>
      <c r="J102" s="110">
        <f>IS!J6</f>
        <v>18916.991657000002</v>
      </c>
      <c r="K102" s="110">
        <f>IS!K6</f>
        <v>19872.116844070002</v>
      </c>
      <c r="L102" s="110">
        <f>IS!L6</f>
        <v>20908.011637772906</v>
      </c>
    </row>
    <row r="103" spans="2:12" x14ac:dyDescent="0.15">
      <c r="B103" s="15" t="s">
        <v>235</v>
      </c>
      <c r="C103" s="110">
        <f>IS!C7</f>
        <v>6072</v>
      </c>
      <c r="D103" s="110">
        <f>IS!D7</f>
        <v>6174</v>
      </c>
      <c r="E103" s="110">
        <f>IS!E7</f>
        <v>6313</v>
      </c>
      <c r="F103" s="110">
        <f>IS!F7</f>
        <v>6368</v>
      </c>
      <c r="G103" s="110">
        <f>IS!G7</f>
        <v>6454</v>
      </c>
      <c r="H103" s="110">
        <f>IS!H7</f>
        <v>6888.9560000000001</v>
      </c>
      <c r="I103" s="110">
        <f>IS!I7</f>
        <v>7214.3297200000006</v>
      </c>
      <c r="J103" s="110">
        <f>IS!J7</f>
        <v>7566.7966628000013</v>
      </c>
      <c r="K103" s="110">
        <f>IS!K7</f>
        <v>7948.8467376280014</v>
      </c>
      <c r="L103" s="110">
        <f>IS!L7</f>
        <v>8363.2046551091626</v>
      </c>
    </row>
    <row r="104" spans="2:12" x14ac:dyDescent="0.15">
      <c r="B104" s="15" t="s">
        <v>182</v>
      </c>
      <c r="C104" s="110"/>
      <c r="D104" s="110">
        <f t="shared" ref="D104:G104" si="36">D103+D10-C10</f>
        <v>6224</v>
      </c>
      <c r="E104" s="110">
        <f t="shared" si="36"/>
        <v>6342</v>
      </c>
      <c r="F104" s="110">
        <f t="shared" si="36"/>
        <v>6518</v>
      </c>
      <c r="G104" s="110">
        <f t="shared" si="36"/>
        <v>6727</v>
      </c>
      <c r="H104" s="110">
        <f t="shared" ref="H104" si="37">H103+H10-G10</f>
        <v>6751.5108493150692</v>
      </c>
      <c r="I104" s="110">
        <f t="shared" ref="I104" si="38">I103+I10-H10</f>
        <v>7503.3187950684933</v>
      </c>
      <c r="J104" s="110">
        <f t="shared" ref="J104" si="39">J103+J10-I10</f>
        <v>7441.9702734191796</v>
      </c>
      <c r="K104" s="110">
        <f t="shared" ref="K104" si="40">K103+K10-J10</f>
        <v>8251.6142577506325</v>
      </c>
      <c r="L104" s="110">
        <f t="shared" ref="L104" si="41">L103+L10-K10</f>
        <v>8253.4257540873477</v>
      </c>
    </row>
    <row r="106" spans="2:12" x14ac:dyDescent="0.15">
      <c r="B106" s="192" t="s">
        <v>236</v>
      </c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</row>
    <row r="107" spans="2:12" x14ac:dyDescent="0.15">
      <c r="B107" s="15" t="s">
        <v>237</v>
      </c>
      <c r="D107" s="195">
        <f t="shared" ref="D107:F107" si="42">D102/AVERAGE(C9:D9)</f>
        <v>10.691110342442062</v>
      </c>
      <c r="E107" s="195">
        <f t="shared" si="42"/>
        <v>10.794444444444444</v>
      </c>
      <c r="F107" s="195">
        <f t="shared" si="42"/>
        <v>11.051408450704225</v>
      </c>
      <c r="G107" s="195">
        <f>G102/AVERAGE(F9:G9)</f>
        <v>12.182692307692308</v>
      </c>
      <c r="H107" s="195">
        <f t="shared" ref="H107:L107" si="43">H102/AVERAGE(G9:H9)</f>
        <v>12.166666666666668</v>
      </c>
      <c r="I107" s="195">
        <f t="shared" si="43"/>
        <v>12.166666666666664</v>
      </c>
      <c r="J107" s="195">
        <f t="shared" si="43"/>
        <v>12.166666666666664</v>
      </c>
      <c r="K107" s="195">
        <f t="shared" si="43"/>
        <v>12.166666666666668</v>
      </c>
      <c r="L107" s="195">
        <f t="shared" si="43"/>
        <v>12.166666666666666</v>
      </c>
    </row>
    <row r="108" spans="2:12" x14ac:dyDescent="0.15">
      <c r="B108" s="15" t="s">
        <v>238</v>
      </c>
      <c r="D108" s="195">
        <f t="shared" ref="D108:G108" si="44">D103/AVERAGE(C10:D10)</f>
        <v>5.1622073578595318</v>
      </c>
      <c r="E108" s="195">
        <f t="shared" si="44"/>
        <v>5.1096721974908945</v>
      </c>
      <c r="F108" s="195">
        <f t="shared" si="44"/>
        <v>4.8060377358490562</v>
      </c>
      <c r="G108" s="195">
        <f t="shared" si="44"/>
        <v>4.2004555808656034</v>
      </c>
      <c r="H108" s="195">
        <f t="shared" ref="H108" si="45">H103/AVERAGE(G10:H10)</f>
        <v>4.2941176470588234</v>
      </c>
      <c r="I108" s="195">
        <f t="shared" ref="I108" si="46">I103/AVERAGE(H10:I10)</f>
        <v>4.2941176470588234</v>
      </c>
      <c r="J108" s="195">
        <f t="shared" ref="J108" si="47">J103/AVERAGE(I10:J10)</f>
        <v>4.2941176470588234</v>
      </c>
      <c r="K108" s="195">
        <f t="shared" ref="K108" si="48">K103/AVERAGE(J10:K10)</f>
        <v>4.2941176470588234</v>
      </c>
      <c r="L108" s="195">
        <f t="shared" ref="L108" si="49">L103/AVERAGE(K10:L10)</f>
        <v>4.2941176470588234</v>
      </c>
    </row>
    <row r="109" spans="2:12" x14ac:dyDescent="0.15">
      <c r="B109" s="15" t="s">
        <v>239</v>
      </c>
      <c r="D109" s="195">
        <f t="shared" ref="D109:G109" si="50">D104/AVERAGE(C25:D25)</f>
        <v>5.3287671232876717</v>
      </c>
      <c r="E109" s="195">
        <f t="shared" si="50"/>
        <v>5.2111750205423171</v>
      </c>
      <c r="F109" s="195">
        <f t="shared" si="50"/>
        <v>5.301342008946726</v>
      </c>
      <c r="G109" s="195">
        <f t="shared" si="50"/>
        <v>5.115589353612167</v>
      </c>
      <c r="H109" s="195">
        <f t="shared" ref="H109" si="51">H104/AVERAGE(G25:H25)</f>
        <v>5.2142857142857144</v>
      </c>
      <c r="I109" s="195">
        <f t="shared" ref="I109" si="52">I104/AVERAGE(H25:I25)</f>
        <v>5.2142857142857144</v>
      </c>
      <c r="J109" s="195">
        <f t="shared" ref="J109" si="53">J104/AVERAGE(I25:J25)</f>
        <v>5.2142857142857153</v>
      </c>
      <c r="K109" s="195">
        <f t="shared" ref="K109" si="54">K104/AVERAGE(J25:K25)</f>
        <v>5.2142857142857153</v>
      </c>
      <c r="L109" s="195">
        <f t="shared" ref="L109" si="55">L104/AVERAGE(K25:L25)</f>
        <v>5.2142857142857144</v>
      </c>
    </row>
    <row r="112" spans="2:12" x14ac:dyDescent="0.15">
      <c r="B112" s="192" t="s">
        <v>240</v>
      </c>
      <c r="C112" s="193">
        <v>365</v>
      </c>
      <c r="D112" s="193"/>
      <c r="E112" s="193"/>
      <c r="F112" s="193"/>
      <c r="G112" s="193"/>
      <c r="H112" s="193"/>
      <c r="I112" s="193"/>
      <c r="J112" s="193"/>
      <c r="K112" s="193"/>
      <c r="L112" s="193"/>
    </row>
    <row r="113" spans="2:12" x14ac:dyDescent="0.15">
      <c r="B113" s="15" t="s">
        <v>241</v>
      </c>
      <c r="D113" s="196">
        <f>$C$112/D107</f>
        <v>34.140513782839392</v>
      </c>
      <c r="E113" s="196">
        <f t="shared" ref="E113:L115" si="56">$C$112/E107</f>
        <v>33.813690169840456</v>
      </c>
      <c r="F113" s="196">
        <f t="shared" si="56"/>
        <v>33.027464474606518</v>
      </c>
      <c r="G113" s="196">
        <f t="shared" si="56"/>
        <v>29.96053670086819</v>
      </c>
      <c r="H113" s="196">
        <f t="shared" si="56"/>
        <v>29.999999999999996</v>
      </c>
      <c r="I113" s="196">
        <f t="shared" si="56"/>
        <v>30.000000000000007</v>
      </c>
      <c r="J113" s="196">
        <f t="shared" si="56"/>
        <v>30.000000000000007</v>
      </c>
      <c r="K113" s="196">
        <f t="shared" si="56"/>
        <v>29.999999999999996</v>
      </c>
      <c r="L113" s="196">
        <f t="shared" si="56"/>
        <v>30</v>
      </c>
    </row>
    <row r="114" spans="2:12" x14ac:dyDescent="0.15">
      <c r="B114" s="15" t="s">
        <v>242</v>
      </c>
      <c r="D114" s="196">
        <f>$C$112/D108</f>
        <v>70.706187236799479</v>
      </c>
      <c r="E114" s="196">
        <f t="shared" si="56"/>
        <v>71.433153809599233</v>
      </c>
      <c r="F114" s="196">
        <f t="shared" si="56"/>
        <v>75.946136934673376</v>
      </c>
      <c r="G114" s="196">
        <f t="shared" si="56"/>
        <v>86.895336225596537</v>
      </c>
      <c r="H114" s="196">
        <f t="shared" si="56"/>
        <v>85</v>
      </c>
      <c r="I114" s="196">
        <f t="shared" si="56"/>
        <v>85</v>
      </c>
      <c r="J114" s="196">
        <f t="shared" si="56"/>
        <v>85</v>
      </c>
      <c r="K114" s="196">
        <f t="shared" si="56"/>
        <v>85</v>
      </c>
      <c r="L114" s="196">
        <f t="shared" si="56"/>
        <v>85</v>
      </c>
    </row>
    <row r="115" spans="2:12" x14ac:dyDescent="0.15">
      <c r="B115" s="15" t="s">
        <v>282</v>
      </c>
      <c r="D115" s="196">
        <f>$C$112/D109</f>
        <v>68.496143958868885</v>
      </c>
      <c r="E115" s="196">
        <f t="shared" si="56"/>
        <v>70.041784925890894</v>
      </c>
      <c r="F115" s="196">
        <f t="shared" si="56"/>
        <v>68.850490948143602</v>
      </c>
      <c r="G115" s="196">
        <f t="shared" si="56"/>
        <v>71.350527724096921</v>
      </c>
      <c r="H115" s="196">
        <f t="shared" si="56"/>
        <v>70</v>
      </c>
      <c r="I115" s="196">
        <f t="shared" si="56"/>
        <v>70</v>
      </c>
      <c r="J115" s="196">
        <f t="shared" si="56"/>
        <v>69.999999999999986</v>
      </c>
      <c r="K115" s="196">
        <f t="shared" si="56"/>
        <v>69.999999999999986</v>
      </c>
      <c r="L115" s="196">
        <f t="shared" si="56"/>
        <v>70</v>
      </c>
    </row>
    <row r="116" spans="2:12" x14ac:dyDescent="0.15">
      <c r="B116" s="15" t="s">
        <v>243</v>
      </c>
      <c r="D116" s="40">
        <f>D113+D114-D115</f>
        <v>36.350557060769987</v>
      </c>
      <c r="E116" s="40">
        <f t="shared" ref="E116:F116" si="57">E113+E114-E115</f>
        <v>35.205059053548794</v>
      </c>
      <c r="F116" s="40">
        <f t="shared" si="57"/>
        <v>40.123110461136292</v>
      </c>
      <c r="G116" s="40">
        <f>G113+G114-G115</f>
        <v>45.505345202367806</v>
      </c>
      <c r="H116" s="40">
        <f t="shared" ref="H116:L116" si="58">H113+H114-H115</f>
        <v>45</v>
      </c>
      <c r="I116" s="40">
        <f t="shared" si="58"/>
        <v>45</v>
      </c>
      <c r="J116" s="40">
        <f t="shared" si="58"/>
        <v>45.000000000000014</v>
      </c>
      <c r="K116" s="40">
        <f t="shared" si="58"/>
        <v>45.000000000000014</v>
      </c>
      <c r="L116" s="40">
        <f t="shared" si="58"/>
        <v>45</v>
      </c>
    </row>
    <row r="119" spans="2:12" x14ac:dyDescent="0.15">
      <c r="B119" s="192" t="s">
        <v>244</v>
      </c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</row>
    <row r="120" spans="2:12" x14ac:dyDescent="0.15">
      <c r="B120" s="15" t="s">
        <v>274</v>
      </c>
      <c r="D120" s="40">
        <f t="shared" ref="D120:F120" si="59">D102/AVERAGE(C19:D19)</f>
        <v>1.246340578249123</v>
      </c>
      <c r="E120" s="40">
        <f t="shared" si="59"/>
        <v>1.2516809598582759</v>
      </c>
      <c r="F120" s="40">
        <f t="shared" si="59"/>
        <v>1.1541092112520683</v>
      </c>
      <c r="G120" s="40">
        <f>G102/AVERAGE(F19:G19)</f>
        <v>1.0642243328810492</v>
      </c>
      <c r="H120" s="40">
        <f t="shared" ref="H120:L120" ca="1" si="60">H102/AVERAGE(G19:H19)</f>
        <v>1.0798739179549683</v>
      </c>
      <c r="I120" s="40">
        <f t="shared" ca="1" si="60"/>
        <v>1.1144368840310059</v>
      </c>
      <c r="J120" s="40">
        <f t="shared" ca="1" si="60"/>
        <v>1.1368863328036332</v>
      </c>
      <c r="K120" s="40">
        <f t="shared" ca="1" si="60"/>
        <v>1.1554400243190854</v>
      </c>
      <c r="L120" s="40">
        <f t="shared" ca="1" si="60"/>
        <v>1.1752606417743006</v>
      </c>
    </row>
    <row r="121" spans="2:12" x14ac:dyDescent="0.15">
      <c r="B121" s="15" t="s">
        <v>245</v>
      </c>
      <c r="D121" s="40">
        <f t="shared" ref="D121:G121" si="61">D102/AVERAGE(C14:D14)</f>
        <v>3.9064711830131444</v>
      </c>
      <c r="E121" s="40">
        <f t="shared" si="61"/>
        <v>3.9089651703759589</v>
      </c>
      <c r="F121" s="40">
        <f t="shared" si="61"/>
        <v>4.1129602935395102</v>
      </c>
      <c r="G121" s="40">
        <f t="shared" si="61"/>
        <v>4.4122689525850518</v>
      </c>
      <c r="H121" s="40">
        <f t="shared" ref="H121" si="62">H102/AVERAGE(G14:H14)</f>
        <v>4.6364898655163733</v>
      </c>
      <c r="I121" s="40">
        <f t="shared" ref="I121" si="63">I102/AVERAGE(H14:I14)</f>
        <v>4.8633137477705812</v>
      </c>
      <c r="J121" s="40">
        <f t="shared" ref="J121" si="64">J102/AVERAGE(I14:J14)</f>
        <v>5.1172032819104087</v>
      </c>
      <c r="K121" s="40">
        <f t="shared" ref="K121" si="65">K102/AVERAGE(J14:K14)</f>
        <v>5.4004371416576946</v>
      </c>
      <c r="L121" s="40">
        <f t="shared" ref="L121" si="66">L102/AVERAGE(K14:L14)</f>
        <v>5.7154599714808096</v>
      </c>
    </row>
    <row r="122" spans="2:12" x14ac:dyDescent="0.15">
      <c r="B122" s="15" t="s">
        <v>246</v>
      </c>
      <c r="D122" s="40">
        <f>D102/AVERAGE(C44:D44)</f>
        <v>-102.00660066006601</v>
      </c>
      <c r="E122" s="40">
        <f>E102/AVERAGE(D44:E44)</f>
        <v>-191.90123456790124</v>
      </c>
      <c r="F122" s="40">
        <f>F102/AVERAGE(E44:F44)</f>
        <v>2092.4</v>
      </c>
      <c r="G122" s="40">
        <f>G102/AVERAGE(F44:G44)</f>
        <v>38.304651162790698</v>
      </c>
      <c r="H122" s="40">
        <f t="shared" ref="H122:L122" ca="1" si="67">H102/AVERAGE(G44:H44)</f>
        <v>21.72672278336162</v>
      </c>
      <c r="I122" s="40">
        <f t="shared" ca="1" si="67"/>
        <v>20.70740747142931</v>
      </c>
      <c r="J122" s="40">
        <f t="shared" ca="1" si="67"/>
        <v>20.903470080958481</v>
      </c>
      <c r="K122" s="40">
        <f t="shared" ca="1" si="67"/>
        <v>22.332704196138231</v>
      </c>
      <c r="L122" s="40">
        <f t="shared" ca="1" si="67"/>
        <v>25.484041511627023</v>
      </c>
    </row>
    <row r="124" spans="2:12" x14ac:dyDescent="0.15">
      <c r="B124" s="192" t="s">
        <v>247</v>
      </c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</row>
    <row r="125" spans="2:12" x14ac:dyDescent="0.15">
      <c r="B125" s="15" t="s">
        <v>248</v>
      </c>
      <c r="C125" s="138">
        <f>IS!C8/IS!C6</f>
        <v>0.60039486673247777</v>
      </c>
      <c r="D125" s="138">
        <f>IS!D8/IS!D6</f>
        <v>0.60049178206289633</v>
      </c>
      <c r="E125" s="138">
        <f>IS!E8/IS!E6</f>
        <v>0.59386258363355637</v>
      </c>
      <c r="F125" s="138">
        <f>IS!F8/IS!F6</f>
        <v>0.59421398075575094</v>
      </c>
      <c r="G125" s="138">
        <f>IS!G8/IS!G6</f>
        <v>0.60815979600509984</v>
      </c>
      <c r="H125" s="138">
        <f>IS!H8/IS!H6</f>
        <v>0.6</v>
      </c>
      <c r="I125" s="138">
        <f>IS!I8/IS!I6</f>
        <v>0.59999999999999987</v>
      </c>
      <c r="J125" s="138">
        <f>IS!J8/IS!J6</f>
        <v>0.6</v>
      </c>
      <c r="K125" s="138">
        <f>IS!K8/IS!K6</f>
        <v>0.6</v>
      </c>
      <c r="L125" s="138">
        <f>IS!L8/IS!L6</f>
        <v>0.6</v>
      </c>
    </row>
    <row r="126" spans="2:12" x14ac:dyDescent="0.15">
      <c r="B126" s="15" t="s">
        <v>249</v>
      </c>
      <c r="C126" s="138">
        <f>IS!C12/IS!C6</f>
        <v>0.26028298782494241</v>
      </c>
      <c r="D126" s="138">
        <f>IS!D12/IS!D6</f>
        <v>0.23987317199430569</v>
      </c>
      <c r="E126" s="138">
        <f>IS!E12/IS!E6</f>
        <v>0.2376479670612455</v>
      </c>
      <c r="F126" s="138">
        <f>IS!F12/IS!F6</f>
        <v>0.22647040081565029</v>
      </c>
      <c r="G126" s="138">
        <f>IS!G12/IS!G6</f>
        <v>0.2358691032724182</v>
      </c>
      <c r="H126" s="138">
        <f>IS!H12/IS!H6</f>
        <v>0.23</v>
      </c>
      <c r="I126" s="138">
        <f>IS!I12/IS!I6</f>
        <v>0.22999999999999993</v>
      </c>
      <c r="J126" s="138">
        <f>IS!J12/IS!J6</f>
        <v>0.22999999999999998</v>
      </c>
      <c r="K126" s="138">
        <f>IS!K12/IS!K6</f>
        <v>0.22999999999999993</v>
      </c>
      <c r="L126" s="138">
        <f>IS!L12/IS!L6</f>
        <v>0.23000000000000004</v>
      </c>
    </row>
    <row r="127" spans="2:12" x14ac:dyDescent="0.15">
      <c r="B127" s="15" t="s">
        <v>250</v>
      </c>
      <c r="C127" s="138">
        <f>IS!C20/IS!C6</f>
        <v>0.16064494899638038</v>
      </c>
      <c r="D127" s="138">
        <f>IS!D20/IS!D6</f>
        <v>0.13096932832923516</v>
      </c>
      <c r="E127" s="138">
        <f>IS!E20/IS!E6</f>
        <v>0.15440041173443128</v>
      </c>
      <c r="F127" s="138">
        <f>IS!F20/IS!F6</f>
        <v>0.15083158095966354</v>
      </c>
      <c r="G127" s="138">
        <f>IS!G20/IS!G6</f>
        <v>0.16362090947726307</v>
      </c>
      <c r="H127" s="138">
        <f ca="1">IS!H20/IS!H6</f>
        <v>0.15899426480457424</v>
      </c>
      <c r="I127" s="138">
        <f ca="1">IS!I20/IS!I6</f>
        <v>0.15946704354568733</v>
      </c>
      <c r="J127" s="138">
        <f ca="1">IS!J20/IS!J6</f>
        <v>0.15986400825436156</v>
      </c>
      <c r="K127" s="138">
        <f ca="1">IS!K20/IS!K6</f>
        <v>0.16028981799323211</v>
      </c>
      <c r="L127" s="138">
        <f ca="1">IS!L20/IS!L6</f>
        <v>0.16048661479558543</v>
      </c>
    </row>
    <row r="129" spans="2:12" x14ac:dyDescent="0.15">
      <c r="B129" s="15" t="s">
        <v>251</v>
      </c>
      <c r="C129" s="138"/>
      <c r="D129" s="138">
        <f>IS!D12/AVERAGE(BS!C19:D19)</f>
        <v>0.29896366788983425</v>
      </c>
      <c r="E129" s="138">
        <f>IS!E12/AVERAGE(BS!D19:E19)</f>
        <v>0.2974594355195877</v>
      </c>
      <c r="F129" s="138">
        <f>IS!F12/AVERAGE(BS!E19:F19)</f>
        <v>0.26137157565728997</v>
      </c>
      <c r="G129" s="138">
        <f>IS!G12/AVERAGE(BS!F19:G19)</f>
        <v>0.25101763907734059</v>
      </c>
      <c r="H129" s="138">
        <f ca="1">IS!H12/AVERAGE(BS!G19:H19)</f>
        <v>0.24837100112964275</v>
      </c>
      <c r="I129" s="138">
        <f ca="1">IS!I12/AVERAGE(BS!H19:I19)</f>
        <v>0.25632048332713131</v>
      </c>
      <c r="J129" s="138">
        <f ca="1">IS!J12/AVERAGE(BS!I19:J19)</f>
        <v>0.26148385654483564</v>
      </c>
      <c r="K129" s="138">
        <f ca="1">IS!K12/AVERAGE(BS!J19:K19)</f>
        <v>0.26575120559338955</v>
      </c>
      <c r="L129" s="138">
        <f ca="1">IS!L12/AVERAGE(BS!K19:L19)</f>
        <v>0.27030994760808918</v>
      </c>
    </row>
    <row r="130" spans="2:12" x14ac:dyDescent="0.15">
      <c r="B130" s="159" t="s">
        <v>275</v>
      </c>
      <c r="C130" s="138"/>
      <c r="D130" s="138">
        <f>IS!D18/AVERAGE(BS!C46:D46)</f>
        <v>16.723076923076924</v>
      </c>
      <c r="E130" s="138">
        <f>IS!E18/AVERAGE(BS!D46:E46)</f>
        <v>11.627272727272727</v>
      </c>
      <c r="F130" s="138">
        <f>IS!F18/AVERAGE(BS!E46:F46)</f>
        <v>6.6940397350993379</v>
      </c>
      <c r="G130" s="138">
        <f>IS!G18/AVERAGE(BS!F46:G46)</f>
        <v>3.4478601567209162</v>
      </c>
      <c r="H130" s="138">
        <f ca="1">IS!H18/AVERAGE(BS!G46:H46)</f>
        <v>2.3528840915311573</v>
      </c>
      <c r="I130" s="138">
        <f ca="1">IS!I18/AVERAGE(BS!H46:I46)</f>
        <v>2.045859781272481</v>
      </c>
      <c r="J130" s="138">
        <f ca="1">IS!J18/AVERAGE(BS!I46:J46)</f>
        <v>1.8727936605366857</v>
      </c>
      <c r="K130" s="138">
        <f ca="1">IS!K18/AVERAGE(BS!J46:K46)</f>
        <v>1.7826604388291885</v>
      </c>
      <c r="L130" s="138">
        <f ca="1">IS!L18/AVERAGE(BS!K46:L46)</f>
        <v>1.7496175875424247</v>
      </c>
    </row>
    <row r="131" spans="2:12" x14ac:dyDescent="0.15">
      <c r="B131" s="15" t="s">
        <v>271</v>
      </c>
      <c r="C131" s="138"/>
      <c r="D131" s="138">
        <f>IS!D20/AVERAGE(BS!C44:D44)</f>
        <v>-13.35973597359736</v>
      </c>
      <c r="E131" s="138">
        <f>IS!E20/AVERAGE(BS!D44:E44)</f>
        <v>-29.62962962962963</v>
      </c>
      <c r="F131" s="138">
        <f>IS!F20/AVERAGE(BS!E44:F44)</f>
        <v>315.60000000000002</v>
      </c>
      <c r="G131" s="138">
        <f>IS!G20/AVERAGE(BS!F44:G44)</f>
        <v>6.2674418604651159</v>
      </c>
      <c r="H131" s="138">
        <f ca="1">IS!H20/AVERAGE(BS!G44:H44)</f>
        <v>3.4544243155533736</v>
      </c>
      <c r="I131" s="138">
        <f ca="1">IS!I20/AVERAGE(BS!H44:I44)</f>
        <v>3.3021490489647092</v>
      </c>
      <c r="J131" s="138">
        <f ca="1">IS!J20/AVERAGE(BS!I44:J44)</f>
        <v>3.3417125135671468</v>
      </c>
      <c r="K131" s="138">
        <f ca="1">IS!K20/AVERAGE(BS!J44:K44)</f>
        <v>3.5797050908956884</v>
      </c>
      <c r="L131" s="138">
        <f ca="1">IS!L20/AVERAGE(BS!K44:L44)</f>
        <v>4.0898475535111949</v>
      </c>
    </row>
    <row r="132" spans="2:12" x14ac:dyDescent="0.15">
      <c r="D132" s="138"/>
      <c r="E132" s="138"/>
      <c r="F132" s="138"/>
      <c r="G132" s="138"/>
      <c r="H132" s="138"/>
      <c r="I132" s="138"/>
      <c r="J132" s="138"/>
      <c r="K132" s="138"/>
      <c r="L132" s="138"/>
    </row>
    <row r="133" spans="2:12" x14ac:dyDescent="0.15">
      <c r="B133" s="192" t="s">
        <v>252</v>
      </c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</row>
    <row r="134" spans="2:12" x14ac:dyDescent="0.15">
      <c r="B134" s="15" t="s">
        <v>272</v>
      </c>
      <c r="D134" s="231">
        <f>IS!D18/IS!D6</f>
        <v>0.14067555325482076</v>
      </c>
      <c r="E134" s="231">
        <f>IS!E18/IS!E6</f>
        <v>0.16456510550694803</v>
      </c>
      <c r="F134" s="231">
        <f>IS!F18/IS!F6</f>
        <v>0.16102720958389091</v>
      </c>
      <c r="G134" s="231">
        <f>IS!G18/IS!G6</f>
        <v>0.17363851617995266</v>
      </c>
      <c r="H134" s="231">
        <f ca="1">IS!H18/IS!H6</f>
        <v>0.16914283489848325</v>
      </c>
      <c r="I134" s="231">
        <f ca="1">IS!I18/IS!I6</f>
        <v>0.16964579100605037</v>
      </c>
      <c r="J134" s="231">
        <f ca="1">IS!J18/IS!J6</f>
        <v>0.1700680938876187</v>
      </c>
      <c r="K134" s="231">
        <f ca="1">IS!K18/IS!K6</f>
        <v>0.17052108297152352</v>
      </c>
      <c r="L134" s="231">
        <f ca="1">IS!L18/IS!L6</f>
        <v>0.1707304412718994</v>
      </c>
    </row>
    <row r="135" spans="2:12" x14ac:dyDescent="0.15">
      <c r="B135" s="15" t="s">
        <v>273</v>
      </c>
      <c r="D135" s="138">
        <f t="shared" ref="D135:L135" si="68">D120</f>
        <v>1.246340578249123</v>
      </c>
      <c r="E135" s="138">
        <f t="shared" si="68"/>
        <v>1.2516809598582759</v>
      </c>
      <c r="F135" s="138">
        <f t="shared" si="68"/>
        <v>1.1541092112520683</v>
      </c>
      <c r="G135" s="138">
        <f t="shared" si="68"/>
        <v>1.0642243328810492</v>
      </c>
      <c r="H135" s="138">
        <f t="shared" ca="1" si="68"/>
        <v>1.0798739179549683</v>
      </c>
      <c r="I135" s="138">
        <f t="shared" ca="1" si="68"/>
        <v>1.1144368840310059</v>
      </c>
      <c r="J135" s="138">
        <f t="shared" ca="1" si="68"/>
        <v>1.1368863328036332</v>
      </c>
      <c r="K135" s="138">
        <f t="shared" ca="1" si="68"/>
        <v>1.1554400243190854</v>
      </c>
      <c r="L135" s="138">
        <f t="shared" ca="1" si="68"/>
        <v>1.1752606417743006</v>
      </c>
    </row>
    <row r="136" spans="2:12" x14ac:dyDescent="0.15">
      <c r="B136" s="15" t="s">
        <v>292</v>
      </c>
      <c r="D136" s="138">
        <f t="shared" ref="D136:G136" si="69">AVERAGE(C19:D19)/AVERAGE(C46:D46)</f>
        <v>95.380769230769232</v>
      </c>
      <c r="E136" s="138">
        <f t="shared" si="69"/>
        <v>56.447727272727271</v>
      </c>
      <c r="F136" s="138">
        <f t="shared" si="69"/>
        <v>36.019867549668874</v>
      </c>
      <c r="G136" s="138">
        <f t="shared" si="69"/>
        <v>18.658227848101266</v>
      </c>
      <c r="H136" s="138">
        <f t="shared" ref="H136" ca="1" si="70">AVERAGE(G19:H19)/AVERAGE(G46:H46)</f>
        <v>12.881720630559769</v>
      </c>
      <c r="I136" s="138">
        <f t="shared" ref="I136" ca="1" si="71">AVERAGE(H19:I19)/AVERAGE(H46:I46)</f>
        <v>10.821246708856364</v>
      </c>
      <c r="J136" s="138">
        <f t="shared" ref="J136" ca="1" si="72">AVERAGE(I19:J19)/AVERAGE(I46:J46)</f>
        <v>9.6861243634046499</v>
      </c>
      <c r="K136" s="138">
        <f t="shared" ref="K136" ca="1" si="73">AVERAGE(J19:K19)/AVERAGE(J46:K46)</f>
        <v>9.0478030222371473</v>
      </c>
      <c r="L136" s="138">
        <f t="shared" ref="L136" ca="1" si="74">AVERAGE(K19:L19)/AVERAGE(K46:L46)</f>
        <v>8.7196284664267036</v>
      </c>
    </row>
    <row r="137" spans="2:12" x14ac:dyDescent="0.15">
      <c r="B137" s="159" t="s">
        <v>288</v>
      </c>
      <c r="D137" s="197">
        <f>D136*D135*D134</f>
        <v>16.723076923076924</v>
      </c>
      <c r="E137" s="197">
        <f t="shared" ref="E137:F137" si="75">E136*E135*E134</f>
        <v>11.627272727272725</v>
      </c>
      <c r="F137" s="197">
        <f t="shared" si="75"/>
        <v>6.6940397350993379</v>
      </c>
      <c r="G137" s="197">
        <f>G136*G135*G134</f>
        <v>3.4478601567209157</v>
      </c>
      <c r="H137" s="197">
        <f t="shared" ref="H137:L137" ca="1" si="76">H136*H135*H134</f>
        <v>2.3528840915311573</v>
      </c>
      <c r="I137" s="197">
        <f t="shared" ca="1" si="76"/>
        <v>2.045859781272481</v>
      </c>
      <c r="J137" s="197">
        <f t="shared" ca="1" si="76"/>
        <v>1.8727936605366855</v>
      </c>
      <c r="K137" s="197">
        <f t="shared" ca="1" si="76"/>
        <v>1.7826604388291885</v>
      </c>
      <c r="L137" s="197">
        <f t="shared" ca="1" si="76"/>
        <v>1.7496175875424249</v>
      </c>
    </row>
    <row r="139" spans="2:12" x14ac:dyDescent="0.15">
      <c r="B139" s="15" t="s">
        <v>201</v>
      </c>
      <c r="E139" s="196">
        <f>IS!E12</f>
        <v>3694</v>
      </c>
      <c r="F139" s="196">
        <f>IS!F12</f>
        <v>3554</v>
      </c>
      <c r="G139" s="196">
        <f>IS!G12</f>
        <v>3885</v>
      </c>
      <c r="H139" s="196">
        <f>IS!H12</f>
        <v>3961.1496999999999</v>
      </c>
      <c r="I139" s="196">
        <f>IS!I12</f>
        <v>4148.2395889999989</v>
      </c>
      <c r="J139" s="196">
        <f>IS!J12</f>
        <v>4350.9080811100002</v>
      </c>
      <c r="K139" s="196">
        <f>IS!K12</f>
        <v>4570.5868741360991</v>
      </c>
      <c r="L139" s="196">
        <f>IS!L12</f>
        <v>4808.8426766877692</v>
      </c>
    </row>
    <row r="140" spans="2:12" x14ac:dyDescent="0.15">
      <c r="B140" s="15" t="s">
        <v>259</v>
      </c>
      <c r="E140" s="196">
        <f>CF!E10</f>
        <v>511</v>
      </c>
      <c r="F140" s="196">
        <f>CF!F10</f>
        <v>519</v>
      </c>
      <c r="G140" s="196">
        <f>CF!G10</f>
        <v>539</v>
      </c>
      <c r="H140" s="196">
        <f>CF!H10</f>
        <v>602.60768841203867</v>
      </c>
      <c r="I140" s="196">
        <f>CF!I10</f>
        <v>633.11011312177891</v>
      </c>
      <c r="J140" s="196">
        <f>CF!J10</f>
        <v>665.07856384792035</v>
      </c>
      <c r="K140" s="196">
        <f>CF!K10</f>
        <v>698.63561956108606</v>
      </c>
      <c r="L140" s="196">
        <f>CF!L10</f>
        <v>733.91513735195019</v>
      </c>
    </row>
    <row r="141" spans="2:12" x14ac:dyDescent="0.15">
      <c r="B141" s="15" t="s">
        <v>177</v>
      </c>
      <c r="E141" s="196">
        <f>IS!E14</f>
        <v>143</v>
      </c>
      <c r="F141" s="196">
        <f>IS!F14</f>
        <v>145</v>
      </c>
      <c r="G141" s="196">
        <f>IS!G14</f>
        <v>164</v>
      </c>
      <c r="H141" s="196">
        <f ca="1">IS!H14</f>
        <v>157.58851393937346</v>
      </c>
      <c r="I141" s="196">
        <f ca="1">IS!I14</f>
        <v>153.40183049276268</v>
      </c>
      <c r="J141" s="196">
        <f ca="1">IS!J14</f>
        <v>150.65458474613354</v>
      </c>
      <c r="K141" s="196">
        <f ca="1">IS!K14</f>
        <v>146.72034882716437</v>
      </c>
      <c r="L141" s="196">
        <f ca="1">IS!L14</f>
        <v>148.75671598927229</v>
      </c>
    </row>
    <row r="142" spans="2:12" x14ac:dyDescent="0.15">
      <c r="H142" s="198"/>
      <c r="I142" s="198"/>
      <c r="J142" s="198"/>
      <c r="K142" s="198"/>
      <c r="L142" s="198"/>
    </row>
    <row r="143" spans="2:12" x14ac:dyDescent="0.15">
      <c r="B143" s="15" t="s">
        <v>260</v>
      </c>
      <c r="E143" s="261">
        <v>0</v>
      </c>
      <c r="F143" s="261">
        <v>0</v>
      </c>
      <c r="G143" s="261">
        <v>267</v>
      </c>
      <c r="H143" s="74"/>
      <c r="I143" s="74"/>
      <c r="J143" s="74"/>
      <c r="K143" s="74"/>
      <c r="L143" s="74"/>
    </row>
    <row r="144" spans="2:12" x14ac:dyDescent="0.15">
      <c r="B144" s="15" t="s">
        <v>261</v>
      </c>
      <c r="E144" s="261">
        <v>119</v>
      </c>
      <c r="F144" s="261">
        <v>148</v>
      </c>
      <c r="G144" s="261">
        <v>153</v>
      </c>
      <c r="H144" s="74"/>
      <c r="I144" s="74"/>
      <c r="J144" s="74"/>
      <c r="K144" s="74"/>
      <c r="L144" s="74"/>
    </row>
    <row r="145" spans="2:12" x14ac:dyDescent="0.15">
      <c r="B145" s="15" t="s">
        <v>262</v>
      </c>
      <c r="E145" s="261">
        <v>188</v>
      </c>
      <c r="F145" s="261">
        <v>193</v>
      </c>
      <c r="G145" s="261">
        <v>167</v>
      </c>
      <c r="H145" s="74"/>
      <c r="I145" s="74"/>
      <c r="J145" s="74"/>
      <c r="K145" s="74"/>
      <c r="L145" s="74"/>
    </row>
    <row r="147" spans="2:12" x14ac:dyDescent="0.15">
      <c r="B147" s="192" t="s">
        <v>254</v>
      </c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</row>
    <row r="148" spans="2:12" x14ac:dyDescent="0.15">
      <c r="B148" s="15" t="s">
        <v>255</v>
      </c>
      <c r="D148" s="40"/>
      <c r="E148" s="40">
        <f>(E32+E23+E24)/E46</f>
        <v>32.314720812182742</v>
      </c>
      <c r="F148" s="40">
        <f>(F32+F23+F24)/F46</f>
        <v>14.062724014336917</v>
      </c>
      <c r="G148" s="40">
        <f>(G32+G23+G24)/G46</f>
        <v>6.9037238873751132</v>
      </c>
      <c r="H148" s="40">
        <f t="shared" ref="H148:L148" ca="1" si="77">(H32+H23+H24)/H46</f>
        <v>5.0685477003555537</v>
      </c>
      <c r="I148" s="40">
        <f t="shared" ca="1" si="77"/>
        <v>4.0576289469310503</v>
      </c>
      <c r="J148" s="40">
        <f t="shared" ca="1" si="77"/>
        <v>3.1109016922147434</v>
      </c>
      <c r="K148" s="40">
        <f t="shared" ca="1" si="77"/>
        <v>2.6049174050685511</v>
      </c>
      <c r="L148" s="40">
        <f t="shared" ca="1" si="77"/>
        <v>2.3984337074276243</v>
      </c>
    </row>
    <row r="149" spans="2:12" x14ac:dyDescent="0.15">
      <c r="B149" s="15" t="s">
        <v>256</v>
      </c>
      <c r="D149" s="40"/>
      <c r="E149" s="40">
        <f>(E32+E23+E24)/(E32+E23+E46+E24)</f>
        <v>0.96998323937223829</v>
      </c>
      <c r="F149" s="40">
        <f>(F32+F23+F24)/(F32+F23+F46+F24)</f>
        <v>0.93361094586555626</v>
      </c>
      <c r="G149" s="40">
        <f>(G32+G23+G24)/(G32+G23+G46+G24)</f>
        <v>0.8734773615260859</v>
      </c>
      <c r="H149" s="40">
        <f t="shared" ref="H149:L149" ca="1" si="78">(H32+H23+H24)/(H32+H23+H46+H24)</f>
        <v>0.83521592819622892</v>
      </c>
      <c r="I149" s="40">
        <f t="shared" ca="1" si="78"/>
        <v>0.80227889184974788</v>
      </c>
      <c r="J149" s="40">
        <f t="shared" ca="1" si="78"/>
        <v>0.75674436538003143</v>
      </c>
      <c r="K149" s="40">
        <f t="shared" ca="1" si="78"/>
        <v>0.72260113405261661</v>
      </c>
      <c r="L149" s="40">
        <f t="shared" ca="1" si="78"/>
        <v>0.70574679805747043</v>
      </c>
    </row>
    <row r="150" spans="2:12" x14ac:dyDescent="0.15">
      <c r="B150" s="15" t="s">
        <v>257</v>
      </c>
      <c r="E150" s="198">
        <f t="shared" ref="E150:L150" si="79">(E139+E140)/E141</f>
        <v>29.405594405594407</v>
      </c>
      <c r="F150" s="198">
        <f t="shared" si="79"/>
        <v>28.089655172413792</v>
      </c>
      <c r="G150" s="198">
        <f t="shared" si="79"/>
        <v>26.975609756097562</v>
      </c>
      <c r="H150" s="198">
        <f t="shared" ca="1" si="79"/>
        <v>28.95996208307276</v>
      </c>
      <c r="I150" s="198">
        <f t="shared" ca="1" si="79"/>
        <v>31.168791707132574</v>
      </c>
      <c r="J150" s="198">
        <f t="shared" ca="1" si="79"/>
        <v>33.294616645157575</v>
      </c>
      <c r="K150" s="198">
        <f t="shared" ca="1" si="79"/>
        <v>35.91337217923531</v>
      </c>
      <c r="L150" s="198">
        <f t="shared" ca="1" si="79"/>
        <v>37.260555109588729</v>
      </c>
    </row>
    <row r="151" spans="2:12" x14ac:dyDescent="0.15">
      <c r="B151" s="15" t="s">
        <v>258</v>
      </c>
      <c r="E151" s="199">
        <f t="shared" ref="E151:L151" si="80">E139/(E143+E144+E145)</f>
        <v>12.032573289902279</v>
      </c>
      <c r="F151" s="199">
        <f t="shared" si="80"/>
        <v>10.422287390029325</v>
      </c>
      <c r="G151" s="199">
        <f t="shared" si="80"/>
        <v>6.6183986371379895</v>
      </c>
      <c r="H151" s="199"/>
      <c r="I151" s="199"/>
      <c r="J151" s="199"/>
      <c r="K151" s="199"/>
      <c r="L151" s="199"/>
    </row>
    <row r="153" spans="2:12" x14ac:dyDescent="0.15">
      <c r="F153" s="159"/>
      <c r="G153" s="159"/>
      <c r="H153" s="159"/>
      <c r="I153" s="159"/>
      <c r="J153" s="159"/>
      <c r="K153" s="159"/>
      <c r="L153" s="159"/>
    </row>
    <row r="154" spans="2:12" x14ac:dyDescent="0.15">
      <c r="B154" s="192" t="s">
        <v>263</v>
      </c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</row>
    <row r="156" spans="2:12" x14ac:dyDescent="0.15">
      <c r="B156" s="15" t="s">
        <v>150</v>
      </c>
      <c r="C156" s="209">
        <v>1508</v>
      </c>
      <c r="D156" s="209">
        <v>1529</v>
      </c>
      <c r="E156" s="208">
        <f>-CF!E39</f>
        <v>1591</v>
      </c>
      <c r="F156" s="208">
        <f>-CF!F39</f>
        <v>1614</v>
      </c>
      <c r="G156" s="208">
        <f>-CF!G39</f>
        <v>1654</v>
      </c>
      <c r="H156" s="208">
        <f ca="1">-CF!H39</f>
        <v>1642.9567417365909</v>
      </c>
      <c r="I156" s="208">
        <f ca="1">-CF!I39</f>
        <v>1725.6717474182794</v>
      </c>
      <c r="J156" s="208">
        <f ca="1">-CF!J39</f>
        <v>1814.4876662414024</v>
      </c>
      <c r="K156" s="208">
        <f ca="1">-CF!K39</f>
        <v>1911.1787952457335</v>
      </c>
      <c r="L156" s="208">
        <f ca="1">-CF!L39</f>
        <v>2013.2736059117265</v>
      </c>
    </row>
    <row r="157" spans="2:12" x14ac:dyDescent="0.15">
      <c r="B157" s="15" t="s">
        <v>137</v>
      </c>
      <c r="C157" s="15">
        <f>IS!C20</f>
        <v>2441</v>
      </c>
      <c r="D157" s="15">
        <f>IS!D20</f>
        <v>2024</v>
      </c>
      <c r="E157" s="15">
        <f>IS!E20</f>
        <v>2400</v>
      </c>
      <c r="F157" s="15">
        <f>IS!F20</f>
        <v>2367</v>
      </c>
      <c r="G157" s="15">
        <f>IS!G20</f>
        <v>2695</v>
      </c>
      <c r="H157" s="312">
        <f ca="1">IS!H20</f>
        <v>2738.2612362276514</v>
      </c>
      <c r="I157" s="312">
        <f ca="1">IS!I20</f>
        <v>2876.119579030466</v>
      </c>
      <c r="J157" s="312">
        <f ca="1">IS!J20</f>
        <v>3024.1461104023374</v>
      </c>
      <c r="K157" s="312">
        <f ca="1">IS!K20</f>
        <v>3185.2979920762227</v>
      </c>
      <c r="L157" s="312">
        <f ca="1">IS!L20</f>
        <v>3355.4560098528777</v>
      </c>
    </row>
    <row r="158" spans="2:12" x14ac:dyDescent="0.15">
      <c r="B158" s="15" t="s">
        <v>151</v>
      </c>
      <c r="C158" s="200">
        <f>C156/C157</f>
        <v>0.6177795985251946</v>
      </c>
      <c r="D158" s="200">
        <f t="shared" ref="D158:L158" si="81">D156/D157</f>
        <v>0.75543478260869568</v>
      </c>
      <c r="E158" s="200">
        <f t="shared" si="81"/>
        <v>0.66291666666666671</v>
      </c>
      <c r="F158" s="200">
        <f t="shared" si="81"/>
        <v>0.68187579214195182</v>
      </c>
      <c r="G158" s="200">
        <f t="shared" si="81"/>
        <v>0.61372912801484225</v>
      </c>
      <c r="H158" s="200">
        <f t="shared" ca="1" si="81"/>
        <v>0.6</v>
      </c>
      <c r="I158" s="200">
        <f t="shared" ca="1" si="81"/>
        <v>0.6</v>
      </c>
      <c r="J158" s="200">
        <f t="shared" ca="1" si="81"/>
        <v>0.6</v>
      </c>
      <c r="K158" s="200">
        <f t="shared" ca="1" si="81"/>
        <v>0.6</v>
      </c>
      <c r="L158" s="200">
        <f t="shared" ca="1" si="81"/>
        <v>0.6</v>
      </c>
    </row>
    <row r="159" spans="2:12" x14ac:dyDescent="0.15">
      <c r="B159" s="15" t="s">
        <v>264</v>
      </c>
      <c r="C159" s="201">
        <f>1-C158</f>
        <v>0.3822204014748054</v>
      </c>
      <c r="D159" s="201">
        <f t="shared" ref="D159:L159" si="82">1-D158</f>
        <v>0.24456521739130432</v>
      </c>
      <c r="E159" s="201">
        <f t="shared" si="82"/>
        <v>0.33708333333333329</v>
      </c>
      <c r="F159" s="201">
        <f t="shared" si="82"/>
        <v>0.31812420785804818</v>
      </c>
      <c r="G159" s="201">
        <f t="shared" si="82"/>
        <v>0.38627087198515775</v>
      </c>
      <c r="H159" s="201">
        <f t="shared" ca="1" si="82"/>
        <v>0.4</v>
      </c>
      <c r="I159" s="201">
        <f t="shared" ca="1" si="82"/>
        <v>0.4</v>
      </c>
      <c r="J159" s="201">
        <f t="shared" ca="1" si="82"/>
        <v>0.4</v>
      </c>
      <c r="K159" s="201">
        <f t="shared" ca="1" si="82"/>
        <v>0.4</v>
      </c>
      <c r="L159" s="201">
        <f t="shared" ca="1" si="82"/>
        <v>0.4</v>
      </c>
    </row>
    <row r="161" spans="1:12" x14ac:dyDescent="0.15">
      <c r="B161" s="159" t="s">
        <v>265</v>
      </c>
      <c r="C161" s="138"/>
      <c r="D161" s="138">
        <f t="shared" ref="D161:L161" si="83">D159*D137</f>
        <v>4.0898829431438122</v>
      </c>
      <c r="E161" s="138">
        <f t="shared" si="83"/>
        <v>3.9193598484848473</v>
      </c>
      <c r="F161" s="138">
        <f t="shared" si="83"/>
        <v>2.1295360880987757</v>
      </c>
      <c r="G161" s="138">
        <f t="shared" si="83"/>
        <v>1.3318079492194708</v>
      </c>
      <c r="H161" s="138">
        <f t="shared" ca="1" si="83"/>
        <v>0.94115363661246298</v>
      </c>
      <c r="I161" s="138">
        <f t="shared" ca="1" si="83"/>
        <v>0.81834391250899241</v>
      </c>
      <c r="J161" s="138">
        <f t="shared" ca="1" si="83"/>
        <v>0.74911746421467429</v>
      </c>
      <c r="K161" s="138">
        <f t="shared" ca="1" si="83"/>
        <v>0.71306417553167545</v>
      </c>
      <c r="L161" s="138">
        <f t="shared" ca="1" si="83"/>
        <v>0.69984703501696999</v>
      </c>
    </row>
    <row r="162" spans="1:12" x14ac:dyDescent="0.15">
      <c r="J162" s="40"/>
    </row>
    <row r="163" spans="1:12" x14ac:dyDescent="0.15">
      <c r="A163" s="284"/>
      <c r="B163" s="243"/>
      <c r="C163" s="243"/>
      <c r="D163" s="243"/>
      <c r="E163" s="243"/>
      <c r="F163" s="243"/>
      <c r="G163" s="243"/>
    </row>
    <row r="164" spans="1:12" x14ac:dyDescent="0.15">
      <c r="A164" s="289"/>
      <c r="B164" s="243"/>
      <c r="C164" s="243"/>
      <c r="D164" s="243"/>
      <c r="E164" s="243"/>
      <c r="F164" s="243"/>
      <c r="G164" s="243"/>
    </row>
    <row r="165" spans="1:12" x14ac:dyDescent="0.15">
      <c r="A165" s="243"/>
      <c r="B165" s="243"/>
      <c r="C165" s="243"/>
      <c r="D165" s="243"/>
      <c r="E165" s="243"/>
      <c r="F165" s="243"/>
      <c r="G165" s="243"/>
    </row>
    <row r="166" spans="1:12" x14ac:dyDescent="0.15">
      <c r="A166" s="243"/>
      <c r="B166" s="243"/>
      <c r="C166" s="243"/>
      <c r="D166" s="243"/>
      <c r="E166" s="243"/>
      <c r="F166" s="243"/>
      <c r="G166" s="243"/>
    </row>
    <row r="167" spans="1:12" x14ac:dyDescent="0.15">
      <c r="A167" s="243"/>
      <c r="B167" s="243"/>
      <c r="C167" s="243"/>
      <c r="D167" s="243"/>
      <c r="E167" s="243"/>
      <c r="F167" s="243"/>
      <c r="G167" s="2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0"/>
  <sheetViews>
    <sheetView showGridLines="0" zoomScale="150" zoomScaleNormal="150"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F36" sqref="F36"/>
    </sheetView>
  </sheetViews>
  <sheetFormatPr baseColWidth="10" defaultColWidth="9.1640625" defaultRowHeight="13" x14ac:dyDescent="0.15"/>
  <cols>
    <col min="1" max="1" width="1.83203125" style="41" customWidth="1"/>
    <col min="2" max="2" width="43.33203125" style="41" customWidth="1"/>
    <col min="3" max="4" width="10.33203125" style="41" customWidth="1"/>
    <col min="5" max="5" width="10.5" style="255" customWidth="1"/>
    <col min="6" max="6" width="10.5" style="41" customWidth="1"/>
    <col min="7" max="7" width="10.5" style="41" bestFit="1" customWidth="1"/>
    <col min="8" max="8" width="9.33203125" style="41" bestFit="1" customWidth="1"/>
    <col min="9" max="12" width="10.33203125" style="41" bestFit="1" customWidth="1"/>
    <col min="13" max="16384" width="9.1640625" style="41"/>
  </cols>
  <sheetData>
    <row r="1" spans="1:12" ht="23" x14ac:dyDescent="0.25">
      <c r="A1" s="232" t="str">
        <f>IS!A1</f>
        <v>Colgate-Palmolive Company</v>
      </c>
      <c r="B1" s="246"/>
      <c r="C1" s="246"/>
      <c r="D1" s="246"/>
      <c r="E1" s="281"/>
      <c r="F1" s="246"/>
      <c r="G1" s="246"/>
    </row>
    <row r="2" spans="1:12" s="15" customFormat="1" ht="14" x14ac:dyDescent="0.15">
      <c r="A2" s="243"/>
      <c r="B2" s="243"/>
      <c r="C2" s="243"/>
      <c r="D2" s="243"/>
      <c r="E2" s="243"/>
      <c r="F2" s="243"/>
      <c r="G2" s="243"/>
    </row>
    <row r="3" spans="1:12" s="15" customFormat="1" ht="16" x14ac:dyDescent="0.2">
      <c r="A3" s="233" t="s">
        <v>91</v>
      </c>
      <c r="B3" s="243"/>
      <c r="C3" s="243"/>
      <c r="D3" s="243"/>
      <c r="E3" s="243"/>
      <c r="F3" s="243"/>
      <c r="G3" s="243"/>
    </row>
    <row r="4" spans="1:12" s="15" customFormat="1" ht="14" x14ac:dyDescent="0.15"/>
    <row r="5" spans="1:12" ht="15" thickBot="1" x14ac:dyDescent="0.2">
      <c r="B5" s="43"/>
      <c r="C5" s="42">
        <f>BS!C5</f>
        <v>42735</v>
      </c>
      <c r="D5" s="42">
        <f>BS!D5</f>
        <v>43100</v>
      </c>
      <c r="E5" s="42">
        <f>BS!E5</f>
        <v>43465</v>
      </c>
      <c r="F5" s="42">
        <f>BS!F5</f>
        <v>43830</v>
      </c>
      <c r="G5" s="42">
        <f>BS!G5</f>
        <v>44196</v>
      </c>
      <c r="H5" s="42">
        <f>BS!H5</f>
        <v>44561</v>
      </c>
      <c r="I5" s="42">
        <f>BS!I5</f>
        <v>44926</v>
      </c>
      <c r="J5" s="42">
        <f>BS!J5</f>
        <v>45291</v>
      </c>
      <c r="K5" s="42">
        <f>BS!K5</f>
        <v>45657</v>
      </c>
      <c r="L5" s="42">
        <f>BS!L5</f>
        <v>46022</v>
      </c>
    </row>
    <row r="6" spans="1:12" ht="14" x14ac:dyDescent="0.15">
      <c r="B6" s="247" t="s">
        <v>57</v>
      </c>
      <c r="C6" s="43"/>
      <c r="D6" s="43"/>
      <c r="E6" s="247"/>
    </row>
    <row r="7" spans="1:12" ht="14" x14ac:dyDescent="0.15">
      <c r="B7" s="43" t="s">
        <v>58</v>
      </c>
      <c r="C7" s="44"/>
      <c r="D7" s="44"/>
      <c r="E7" s="44">
        <v>2558</v>
      </c>
      <c r="F7" s="44">
        <v>2527</v>
      </c>
      <c r="G7" s="44">
        <v>2860</v>
      </c>
      <c r="H7" s="152">
        <f ca="1">IS!H18</f>
        <v>2913.0438683272887</v>
      </c>
      <c r="I7" s="152">
        <f ca="1">IS!I18</f>
        <v>3059.7016798196446</v>
      </c>
      <c r="J7" s="152">
        <f ca="1">IS!J18</f>
        <v>3217.176713193976</v>
      </c>
      <c r="K7" s="152">
        <f ca="1">IS!K18</f>
        <v>3388.6148851874709</v>
      </c>
      <c r="L7" s="152">
        <f ca="1">IS!L18</f>
        <v>3569.6340530349762</v>
      </c>
    </row>
    <row r="8" spans="1:12" ht="14" x14ac:dyDescent="0.15">
      <c r="B8" s="43" t="s">
        <v>215</v>
      </c>
      <c r="C8" s="248"/>
      <c r="D8" s="43"/>
      <c r="E8" s="43"/>
      <c r="F8" s="43"/>
      <c r="G8" s="43"/>
      <c r="H8" s="153"/>
      <c r="I8" s="153"/>
      <c r="J8" s="153"/>
      <c r="K8" s="153"/>
    </row>
    <row r="9" spans="1:12" ht="14" x14ac:dyDescent="0.15">
      <c r="B9" s="43" t="s">
        <v>59</v>
      </c>
      <c r="C9" s="248"/>
      <c r="D9" s="43"/>
      <c r="E9" s="43"/>
      <c r="F9" s="43"/>
      <c r="G9" s="43"/>
      <c r="H9" s="153"/>
      <c r="I9" s="153"/>
      <c r="J9" s="153"/>
      <c r="K9" s="153"/>
    </row>
    <row r="10" spans="1:12" ht="14" x14ac:dyDescent="0.15">
      <c r="B10" s="249" t="s">
        <v>60</v>
      </c>
      <c r="C10" s="250"/>
      <c r="D10" s="45"/>
      <c r="E10" s="45">
        <v>511</v>
      </c>
      <c r="F10" s="45">
        <v>519</v>
      </c>
      <c r="G10" s="45">
        <v>539</v>
      </c>
      <c r="H10" s="151">
        <f>-'Dep Capex '!H12-'Amort Intangible'!H12</f>
        <v>602.60768841203867</v>
      </c>
      <c r="I10" s="151">
        <f>-'Dep Capex '!I12-'Amort Intangible'!I12</f>
        <v>633.11011312177891</v>
      </c>
      <c r="J10" s="151">
        <f>-'Dep Capex '!J12-'Amort Intangible'!J12</f>
        <v>665.07856384792035</v>
      </c>
      <c r="K10" s="151">
        <f>-'Dep Capex '!K12-'Amort Intangible'!K12</f>
        <v>698.63561956108606</v>
      </c>
      <c r="L10" s="151">
        <f>-'Dep Capex '!L12-'Amort Intangible'!L12</f>
        <v>733.91513735195019</v>
      </c>
    </row>
    <row r="11" spans="1:12" ht="14" x14ac:dyDescent="0.15">
      <c r="B11" s="249" t="s">
        <v>61</v>
      </c>
      <c r="C11" s="46"/>
      <c r="D11" s="45"/>
      <c r="E11" s="45">
        <v>-7</v>
      </c>
      <c r="F11" s="45">
        <v>18</v>
      </c>
      <c r="G11" s="45">
        <v>-71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</row>
    <row r="12" spans="1:12" ht="14" x14ac:dyDescent="0.15">
      <c r="B12" s="249" t="s">
        <v>63</v>
      </c>
      <c r="C12" s="250"/>
      <c r="D12" s="45"/>
      <c r="E12" s="45">
        <v>109</v>
      </c>
      <c r="F12" s="45">
        <v>100</v>
      </c>
      <c r="G12" s="45">
        <v>107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</row>
    <row r="13" spans="1:12" ht="14" x14ac:dyDescent="0.15">
      <c r="B13" s="249" t="s">
        <v>227</v>
      </c>
      <c r="C13" s="250"/>
      <c r="D13" s="47"/>
      <c r="E13" s="47"/>
      <c r="F13" s="47"/>
      <c r="G13" s="47">
        <v>23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</row>
    <row r="14" spans="1:12" ht="14" x14ac:dyDescent="0.15">
      <c r="B14" s="249" t="s">
        <v>228</v>
      </c>
      <c r="C14" s="48"/>
      <c r="D14" s="48"/>
      <c r="E14" s="47">
        <v>80</v>
      </c>
      <c r="F14" s="47"/>
      <c r="G14" s="47"/>
      <c r="H14" s="45">
        <v>0</v>
      </c>
      <c r="I14" s="45">
        <v>0</v>
      </c>
      <c r="J14" s="45">
        <v>0</v>
      </c>
      <c r="K14" s="45">
        <v>0</v>
      </c>
      <c r="L14" s="45">
        <v>0</v>
      </c>
    </row>
    <row r="15" spans="1:12" ht="14" x14ac:dyDescent="0.15">
      <c r="B15" s="249" t="s">
        <v>30</v>
      </c>
      <c r="C15" s="250"/>
      <c r="D15" s="45"/>
      <c r="E15" s="45">
        <v>27</v>
      </c>
      <c r="F15" s="45">
        <v>17</v>
      </c>
      <c r="G15" s="45">
        <v>-120</v>
      </c>
      <c r="H15" s="153">
        <f>'Other Long Term Asset Liability'!G9-'Other Long Term Asset Liability'!H9+'Other Long Term Asset Liability'!H13-'Other Long Term Asset Liability'!G13</f>
        <v>0</v>
      </c>
      <c r="I15" s="153">
        <f>'Other Long Term Asset Liability'!H9-'Other Long Term Asset Liability'!I9+'Other Long Term Asset Liability'!I13-'Other Long Term Asset Liability'!H13</f>
        <v>0</v>
      </c>
      <c r="J15" s="153">
        <f>'Other Long Term Asset Liability'!I9-'Other Long Term Asset Liability'!J9+'Other Long Term Asset Liability'!J13-'Other Long Term Asset Liability'!I13</f>
        <v>0</v>
      </c>
      <c r="K15" s="153">
        <f>'Other Long Term Asset Liability'!J9-'Other Long Term Asset Liability'!K9+'Other Long Term Asset Liability'!K13-'Other Long Term Asset Liability'!J13</f>
        <v>0</v>
      </c>
      <c r="L15" s="153">
        <f>'Other Long Term Asset Liability'!K9-'Other Long Term Asset Liability'!L9+'Other Long Term Asset Liability'!L13-'Other Long Term Asset Liability'!K13</f>
        <v>0</v>
      </c>
    </row>
    <row r="16" spans="1:12" ht="14" x14ac:dyDescent="0.15">
      <c r="B16" s="249" t="s">
        <v>62</v>
      </c>
      <c r="C16" s="48"/>
      <c r="D16" s="48"/>
      <c r="E16" s="48">
        <v>-67</v>
      </c>
      <c r="F16" s="48">
        <v>-113</v>
      </c>
      <c r="G16" s="48"/>
      <c r="H16" s="45">
        <v>0</v>
      </c>
      <c r="I16" s="45">
        <v>0</v>
      </c>
      <c r="J16" s="45">
        <v>0</v>
      </c>
      <c r="K16" s="45">
        <v>0</v>
      </c>
      <c r="L16" s="45">
        <v>0</v>
      </c>
    </row>
    <row r="17" spans="2:12" ht="14" x14ac:dyDescent="0.15">
      <c r="B17" s="43" t="s">
        <v>64</v>
      </c>
      <c r="C17" s="251"/>
      <c r="D17" s="43"/>
      <c r="E17" s="43"/>
      <c r="F17" s="43"/>
      <c r="G17" s="43"/>
      <c r="H17" s="153"/>
      <c r="I17" s="153"/>
      <c r="J17" s="153"/>
      <c r="K17" s="153"/>
    </row>
    <row r="18" spans="2:12" ht="14" x14ac:dyDescent="0.15">
      <c r="B18" s="249" t="s">
        <v>65</v>
      </c>
      <c r="C18" s="250"/>
      <c r="D18" s="250"/>
      <c r="E18" s="250">
        <v>-79</v>
      </c>
      <c r="F18" s="250">
        <v>19</v>
      </c>
      <c r="G18" s="250">
        <v>138</v>
      </c>
      <c r="H18" s="154">
        <f>'Working Capital'!G10-'Working Capital'!H10</f>
        <v>-303.07780821917777</v>
      </c>
      <c r="I18" s="154">
        <f>'Working Capital'!H10-'Working Capital'!I10</f>
        <v>169.36258082191671</v>
      </c>
      <c r="J18" s="154">
        <f>'Working Capital'!I10-'Working Capital'!J10</f>
        <v>-314.21200936986224</v>
      </c>
      <c r="K18" s="154">
        <f>'Working Capital'!J10-'Working Capital'!K10</f>
        <v>157.20512930356153</v>
      </c>
      <c r="L18" s="154">
        <f>'Working Capital'!K10-'Working Capital'!L10</f>
        <v>-327.48920498075177</v>
      </c>
    </row>
    <row r="19" spans="2:12" ht="14" x14ac:dyDescent="0.15">
      <c r="B19" s="249" t="s">
        <v>66</v>
      </c>
      <c r="C19" s="250"/>
      <c r="D19" s="250"/>
      <c r="E19" s="250">
        <v>-58</v>
      </c>
      <c r="F19" s="250">
        <v>-77</v>
      </c>
      <c r="G19" s="250">
        <v>-251</v>
      </c>
      <c r="H19" s="154">
        <f>'Working Capital'!G11-'Working Capital'!H11</f>
        <v>137.44515068493138</v>
      </c>
      <c r="I19" s="154">
        <f>'Working Capital'!H11-'Working Capital'!I11</f>
        <v>-288.98907506849355</v>
      </c>
      <c r="J19" s="154">
        <f>'Working Capital'!I11-'Working Capital'!J11</f>
        <v>124.82638938082209</v>
      </c>
      <c r="K19" s="154">
        <f>'Working Capital'!J11-'Working Capital'!K11</f>
        <v>-302.76752012263023</v>
      </c>
      <c r="L19" s="154">
        <f>'Working Capital'!K11-'Working Capital'!L11</f>
        <v>109.77890102181573</v>
      </c>
    </row>
    <row r="20" spans="2:12" ht="14" x14ac:dyDescent="0.15">
      <c r="B20" s="249" t="s">
        <v>280</v>
      </c>
      <c r="C20" s="250"/>
      <c r="D20" s="45"/>
      <c r="E20" s="250">
        <v>18</v>
      </c>
      <c r="F20" s="250">
        <v>36</v>
      </c>
      <c r="G20" s="250">
        <v>520</v>
      </c>
      <c r="H20" s="154">
        <f>-('Working Capital'!G15-'Working Capital'!H15+'Working Capital'!G17-'Working Capital'!H17+'Working Capital'!G16-'Working Capital'!H16)</f>
        <v>-446.57732826271331</v>
      </c>
      <c r="I20" s="154">
        <f>-('Working Capital'!H15-'Working Capital'!I15+'Working Capital'!H17-'Working Capital'!I17+'Working Capital'!H16-'Working Capital'!I16)</f>
        <v>602.52937842457504</v>
      </c>
      <c r="J20" s="154">
        <f>-('Working Capital'!I15-'Working Capital'!J15+'Working Capital'!I17-'Working Capital'!J17+'Working Capital'!I16-'Working Capital'!J16)</f>
        <v>-380.68199830167077</v>
      </c>
      <c r="K20" s="154">
        <f>-('Working Capital'!J15-'Working Capital'!K15+'Working Capital'!J17-'Working Capital'!K17+'Working Capital'!J16-'Working Capital'!K16)</f>
        <v>957.12553623479675</v>
      </c>
      <c r="L20" s="154">
        <f>-('Working Capital'!K15-'Working Capital'!L15+'Working Capital'!K17-'Working Capital'!L17+'Working Capital'!K16-'Working Capital'!L16)</f>
        <v>-668.13102250616726</v>
      </c>
    </row>
    <row r="21" spans="2:12" ht="14" x14ac:dyDescent="0.15">
      <c r="B21" s="249" t="s">
        <v>67</v>
      </c>
      <c r="C21" s="49"/>
      <c r="D21" s="45"/>
      <c r="E21" s="11">
        <v>-36</v>
      </c>
      <c r="F21" s="11">
        <v>87</v>
      </c>
      <c r="G21" s="11">
        <v>-26</v>
      </c>
      <c r="H21" s="151">
        <f>'Other Long Term Asset Liability'!G10-'Other Long Term Asset Liability'!H10+'Other Long Term Asset Liability'!H14-'Other Long Term Asset Liability'!G14+'Working Capital'!G12-'Working Capital'!H12</f>
        <v>-20.894090000000006</v>
      </c>
      <c r="I21" s="151">
        <f>'Other Long Term Asset Liability'!H10-'Other Long Term Asset Liability'!I10+'Other Long Term Asset Liability'!I14-'Other Long Term Asset Liability'!H14+'Working Capital'!H12-'Working Capital'!I12</f>
        <v>-25.216463299999987</v>
      </c>
      <c r="J21" s="151">
        <f>'Other Long Term Asset Liability'!I10-'Other Long Term Asset Liability'!J10+'Other Long Term Asset Liability'!J14-'Other Long Term Asset Liability'!I14+'Working Capital'!I12-'Working Capital'!J12</f>
        <v>-27.316188067000098</v>
      </c>
      <c r="K21" s="151">
        <f>'Other Long Term Asset Liability'!J10-'Other Long Term Asset Liability'!K10+'Other Long Term Asset Liability'!K14-'Other Long Term Asset Liability'!J14+'Working Capital'!J12-'Working Capital'!K12</f>
        <v>-29.608880799169924</v>
      </c>
      <c r="L21" s="151">
        <f>'Other Long Term Asset Liability'!K10-'Other Long Term Asset Liability'!L10+'Other Long Term Asset Liability'!L14-'Other Long Term Asset Liability'!K14+'Working Capital'!K12-'Working Capital'!L12</f>
        <v>-32.112738604790025</v>
      </c>
    </row>
    <row r="22" spans="2:12" ht="14" x14ac:dyDescent="0.15">
      <c r="B22" s="252" t="s">
        <v>68</v>
      </c>
      <c r="C22" s="252">
        <f>SUM(C7:C21)</f>
        <v>0</v>
      </c>
      <c r="D22" s="252"/>
      <c r="E22" s="252">
        <f>SUM(E7:E21)</f>
        <v>3056</v>
      </c>
      <c r="F22" s="252">
        <f>SUM(F7:F21)</f>
        <v>3133</v>
      </c>
      <c r="G22" s="252">
        <f>SUM(G7:G21)</f>
        <v>3719</v>
      </c>
      <c r="H22" s="252">
        <f t="shared" ref="H22:L22" ca="1" si="0">SUM(H7:H21)</f>
        <v>2882.5474809423677</v>
      </c>
      <c r="I22" s="252">
        <f t="shared" ca="1" si="0"/>
        <v>4150.4982138194218</v>
      </c>
      <c r="J22" s="252">
        <f t="shared" ca="1" si="0"/>
        <v>3284.8714706841852</v>
      </c>
      <c r="K22" s="252">
        <f t="shared" ca="1" si="0"/>
        <v>4869.2047693651148</v>
      </c>
      <c r="L22" s="252">
        <f t="shared" ca="1" si="0"/>
        <v>3385.5951253170324</v>
      </c>
    </row>
    <row r="23" spans="2:12" ht="14" x14ac:dyDescent="0.15">
      <c r="B23" s="43"/>
      <c r="C23" s="43"/>
      <c r="D23" s="43"/>
      <c r="E23" s="43"/>
      <c r="F23" s="43"/>
      <c r="G23" s="43"/>
      <c r="H23" s="43"/>
      <c r="I23" s="43"/>
      <c r="J23" s="43"/>
      <c r="K23" s="43"/>
    </row>
    <row r="24" spans="2:12" ht="14" x14ac:dyDescent="0.15">
      <c r="B24" s="247" t="s">
        <v>69</v>
      </c>
      <c r="C24" s="251" t="s">
        <v>70</v>
      </c>
      <c r="D24" s="43"/>
      <c r="E24" s="43"/>
      <c r="F24" s="43"/>
      <c r="G24" s="43"/>
      <c r="H24" s="43"/>
      <c r="I24" s="43"/>
      <c r="J24" s="43"/>
      <c r="K24" s="43"/>
    </row>
    <row r="25" spans="2:12" ht="14" x14ac:dyDescent="0.15">
      <c r="B25" s="249" t="s">
        <v>71</v>
      </c>
      <c r="C25" s="250"/>
      <c r="D25" s="250"/>
      <c r="E25" s="250">
        <v>-436</v>
      </c>
      <c r="F25" s="250">
        <v>-335</v>
      </c>
      <c r="G25" s="250">
        <v>-410</v>
      </c>
      <c r="H25" s="154">
        <f>-'Dep Capex '!H7-'Amort Intangible'!H7</f>
        <v>-861.11950000000002</v>
      </c>
      <c r="I25" s="154">
        <f>-'Dep Capex '!I7-'Amort Intangible'!I7</f>
        <v>-901.79121499999997</v>
      </c>
      <c r="J25" s="154">
        <f>-'Dep Capex '!J7-'Amort Intangible'!J7</f>
        <v>-945.84958285000016</v>
      </c>
      <c r="K25" s="154">
        <f>-'Dep Capex '!K7-'Amort Intangible'!K7</f>
        <v>-993.60584220350006</v>
      </c>
      <c r="L25" s="154">
        <f>-'Dep Capex '!L7-'Amort Intangible'!L7</f>
        <v>-1045.4005818886453</v>
      </c>
    </row>
    <row r="26" spans="2:12" ht="14" x14ac:dyDescent="0.15">
      <c r="B26" s="249" t="s">
        <v>72</v>
      </c>
      <c r="C26" s="250"/>
      <c r="D26" s="250"/>
      <c r="E26" s="250">
        <v>-169</v>
      </c>
      <c r="F26" s="250">
        <v>-184</v>
      </c>
      <c r="G26" s="250">
        <v>-143</v>
      </c>
      <c r="H26" s="154"/>
      <c r="I26" s="154"/>
      <c r="J26" s="154"/>
      <c r="K26" s="154"/>
    </row>
    <row r="27" spans="2:12" ht="14" x14ac:dyDescent="0.15">
      <c r="B27" s="249" t="s">
        <v>73</v>
      </c>
      <c r="C27" s="250"/>
      <c r="D27" s="45"/>
      <c r="E27" s="45">
        <v>156</v>
      </c>
      <c r="F27" s="45">
        <v>131</v>
      </c>
      <c r="G27" s="45">
        <v>124</v>
      </c>
      <c r="H27" s="153"/>
      <c r="I27" s="153"/>
      <c r="J27" s="153"/>
      <c r="K27" s="153"/>
    </row>
    <row r="28" spans="2:12" ht="14" x14ac:dyDescent="0.15">
      <c r="B28" s="249" t="s">
        <v>74</v>
      </c>
      <c r="C28" s="47"/>
      <c r="D28" s="250"/>
      <c r="E28" s="250">
        <v>-728</v>
      </c>
      <c r="F28" s="250">
        <v>-1711</v>
      </c>
      <c r="G28" s="250">
        <v>-353</v>
      </c>
      <c r="H28" s="154"/>
      <c r="I28" s="154"/>
      <c r="J28" s="154"/>
      <c r="K28" s="154"/>
    </row>
    <row r="29" spans="2:12" ht="14" x14ac:dyDescent="0.15">
      <c r="B29" s="249" t="s">
        <v>75</v>
      </c>
      <c r="C29" s="49"/>
      <c r="D29" s="250"/>
      <c r="E29" s="250">
        <v>7</v>
      </c>
      <c r="F29" s="250"/>
      <c r="G29" s="250">
        <v>3</v>
      </c>
      <c r="H29" s="154"/>
      <c r="I29" s="154"/>
      <c r="J29" s="154"/>
      <c r="K29" s="154"/>
    </row>
    <row r="30" spans="2:12" ht="14" x14ac:dyDescent="0.15">
      <c r="B30" s="252" t="s">
        <v>76</v>
      </c>
      <c r="C30" s="252">
        <f>SUM(C25:C29)</f>
        <v>0</v>
      </c>
      <c r="D30" s="252"/>
      <c r="E30" s="252">
        <f>SUM(E25:E29)</f>
        <v>-1170</v>
      </c>
      <c r="F30" s="252">
        <f>SUM(F25:F29)</f>
        <v>-2099</v>
      </c>
      <c r="G30" s="252">
        <f>SUM(G25:G29)</f>
        <v>-779</v>
      </c>
      <c r="H30" s="252">
        <f t="shared" ref="H30:L30" si="1">SUM(H25:H29)</f>
        <v>-861.11950000000002</v>
      </c>
      <c r="I30" s="252">
        <f t="shared" si="1"/>
        <v>-901.79121499999997</v>
      </c>
      <c r="J30" s="252">
        <f t="shared" si="1"/>
        <v>-945.84958285000016</v>
      </c>
      <c r="K30" s="252">
        <f t="shared" si="1"/>
        <v>-993.60584220350006</v>
      </c>
      <c r="L30" s="252">
        <f t="shared" si="1"/>
        <v>-1045.4005818886453</v>
      </c>
    </row>
    <row r="31" spans="2:12" ht="14" x14ac:dyDescent="0.15">
      <c r="B31" s="43"/>
      <c r="C31" s="251"/>
      <c r="D31" s="43"/>
      <c r="E31" s="43"/>
      <c r="F31" s="43"/>
      <c r="G31" s="43"/>
      <c r="H31" s="43"/>
      <c r="I31" s="43"/>
      <c r="J31" s="43"/>
      <c r="K31" s="43"/>
    </row>
    <row r="32" spans="2:12" ht="14" x14ac:dyDescent="0.15">
      <c r="B32" s="247" t="s">
        <v>206</v>
      </c>
      <c r="C32" s="251">
        <f>C30+C22</f>
        <v>0</v>
      </c>
      <c r="D32" s="251"/>
      <c r="E32" s="251">
        <f t="shared" ref="E32:L32" si="2">E30+E22</f>
        <v>1886</v>
      </c>
      <c r="F32" s="251">
        <f t="shared" si="2"/>
        <v>1034</v>
      </c>
      <c r="G32" s="251">
        <f t="shared" si="2"/>
        <v>2940</v>
      </c>
      <c r="H32" s="251">
        <f t="shared" ca="1" si="2"/>
        <v>2021.4279809423676</v>
      </c>
      <c r="I32" s="251">
        <f t="shared" ca="1" si="2"/>
        <v>3248.7069988194216</v>
      </c>
      <c r="J32" s="251">
        <f t="shared" ca="1" si="2"/>
        <v>2339.0218878341848</v>
      </c>
      <c r="K32" s="251">
        <f t="shared" ca="1" si="2"/>
        <v>3875.5989271616145</v>
      </c>
      <c r="L32" s="251">
        <f t="shared" ca="1" si="2"/>
        <v>2340.1945434283871</v>
      </c>
    </row>
    <row r="33" spans="2:12" ht="14" x14ac:dyDescent="0.15">
      <c r="B33" s="43"/>
      <c r="C33" s="251"/>
      <c r="D33" s="43"/>
      <c r="E33" s="43"/>
      <c r="F33" s="43"/>
      <c r="G33" s="43"/>
      <c r="H33" s="43"/>
      <c r="I33" s="43"/>
      <c r="J33" s="43"/>
      <c r="K33" s="43"/>
    </row>
    <row r="34" spans="2:12" ht="14" x14ac:dyDescent="0.15">
      <c r="B34" s="247" t="s">
        <v>77</v>
      </c>
      <c r="C34" s="251" t="s">
        <v>70</v>
      </c>
      <c r="D34" s="43"/>
      <c r="E34" s="43"/>
      <c r="F34" s="43"/>
      <c r="G34" s="43"/>
      <c r="H34" s="43"/>
      <c r="I34" s="43"/>
      <c r="J34" s="43"/>
      <c r="K34" s="43"/>
    </row>
    <row r="35" spans="2:12" ht="14" x14ac:dyDescent="0.15">
      <c r="B35" s="249" t="s">
        <v>208</v>
      </c>
      <c r="C35" s="250"/>
      <c r="D35" s="250"/>
      <c r="E35" s="250"/>
      <c r="F35" s="250"/>
      <c r="G35" s="250"/>
      <c r="H35" s="154">
        <f ca="1">Debt!H19</f>
        <v>860.46852524979477</v>
      </c>
      <c r="I35" s="154">
        <f ca="1">Debt!I19</f>
        <v>-16.82631813122839</v>
      </c>
      <c r="J35" s="154">
        <f ca="1">Debt!J19</f>
        <v>1570.3935519140082</v>
      </c>
      <c r="K35" s="154">
        <f>Debt!K19</f>
        <v>0</v>
      </c>
      <c r="L35" s="154">
        <f ca="1">Debt!L19</f>
        <v>1243.0072960576238</v>
      </c>
    </row>
    <row r="36" spans="2:12" ht="14" x14ac:dyDescent="0.15">
      <c r="B36" s="249" t="s">
        <v>226</v>
      </c>
      <c r="C36" s="250"/>
      <c r="D36" s="250"/>
      <c r="E36" s="250">
        <v>546</v>
      </c>
      <c r="F36" s="250">
        <v>294</v>
      </c>
      <c r="G36" s="250">
        <v>497</v>
      </c>
      <c r="H36" s="154"/>
      <c r="I36" s="154"/>
      <c r="J36" s="154"/>
      <c r="K36" s="154"/>
    </row>
    <row r="37" spans="2:12" ht="14" x14ac:dyDescent="0.15">
      <c r="B37" s="249" t="s">
        <v>78</v>
      </c>
      <c r="C37" s="250"/>
      <c r="D37" s="250"/>
      <c r="E37" s="250">
        <v>-725</v>
      </c>
      <c r="F37" s="250">
        <v>-1441</v>
      </c>
      <c r="G37" s="250">
        <v>-1061</v>
      </c>
      <c r="H37" s="154">
        <f>Debt!H25</f>
        <v>-631</v>
      </c>
      <c r="I37" s="154">
        <f>Debt!I25</f>
        <v>-413</v>
      </c>
      <c r="J37" s="154">
        <f>Debt!J25</f>
        <v>-896</v>
      </c>
      <c r="K37" s="154">
        <f>Debt!K25</f>
        <v>-498</v>
      </c>
      <c r="L37" s="154">
        <f>Debt!L25</f>
        <v>-130</v>
      </c>
    </row>
    <row r="38" spans="2:12" ht="14" x14ac:dyDescent="0.15">
      <c r="B38" s="249" t="s">
        <v>79</v>
      </c>
      <c r="C38" s="250"/>
      <c r="D38" s="250"/>
      <c r="E38" s="250"/>
      <c r="F38" s="250">
        <v>2595</v>
      </c>
      <c r="G38" s="250"/>
      <c r="H38" s="154"/>
      <c r="I38" s="154"/>
      <c r="J38" s="154"/>
      <c r="K38" s="154"/>
    </row>
    <row r="39" spans="2:12" ht="14" x14ac:dyDescent="0.15">
      <c r="B39" s="249" t="s">
        <v>80</v>
      </c>
      <c r="C39" s="250"/>
      <c r="D39" s="250"/>
      <c r="E39" s="250">
        <v>-1591</v>
      </c>
      <c r="F39" s="250">
        <v>-1614</v>
      </c>
      <c r="G39" s="250">
        <v>-1654</v>
      </c>
      <c r="H39" s="154">
        <f ca="1">-'Shareholders Equity'!H30</f>
        <v>-1642.9567417365909</v>
      </c>
      <c r="I39" s="154">
        <f ca="1">-'Shareholders Equity'!I30</f>
        <v>-1725.6717474182794</v>
      </c>
      <c r="J39" s="154">
        <f ca="1">-'Shareholders Equity'!J30</f>
        <v>-1814.4876662414024</v>
      </c>
      <c r="K39" s="154">
        <f ca="1">-'Shareholders Equity'!K30</f>
        <v>-1911.1787952457335</v>
      </c>
      <c r="L39" s="154">
        <f ca="1">-'Shareholders Equity'!L30</f>
        <v>-2013.2736059117265</v>
      </c>
    </row>
    <row r="40" spans="2:12" ht="14" x14ac:dyDescent="0.15">
      <c r="B40" s="249" t="s">
        <v>81</v>
      </c>
      <c r="C40" s="250"/>
      <c r="D40" s="250"/>
      <c r="E40" s="250">
        <v>-1238</v>
      </c>
      <c r="F40" s="250">
        <v>-1202</v>
      </c>
      <c r="G40" s="250">
        <v>-1476</v>
      </c>
      <c r="H40" s="154">
        <f ca="1">-'Shareholders Equity'!H18</f>
        <v>-1499.9397644555715</v>
      </c>
      <c r="I40" s="154">
        <f ca="1">-'Shareholders Equity'!I18</f>
        <v>-1597.2089332699138</v>
      </c>
      <c r="J40" s="154">
        <f ca="1">-'Shareholders Equity'!J18</f>
        <v>-1702.9277735067906</v>
      </c>
      <c r="K40" s="154">
        <f ca="1">-'Shareholders Equity'!K18</f>
        <v>-1819.1451085861845</v>
      </c>
      <c r="L40" s="154">
        <f ca="1">-'Shareholders Equity'!L18</f>
        <v>-1943.9282335742844</v>
      </c>
    </row>
    <row r="41" spans="2:12" ht="14" x14ac:dyDescent="0.15">
      <c r="B41" s="249" t="s">
        <v>82</v>
      </c>
      <c r="C41" s="49"/>
      <c r="D41" s="45"/>
      <c r="E41" s="45">
        <v>329</v>
      </c>
      <c r="F41" s="45">
        <v>498</v>
      </c>
      <c r="G41" s="45">
        <v>874</v>
      </c>
      <c r="H41" s="155">
        <f>'Shareholders Equity'!H23</f>
        <v>504</v>
      </c>
      <c r="I41" s="155">
        <f>'Shareholders Equity'!I23</f>
        <v>504</v>
      </c>
      <c r="J41" s="155">
        <f>'Shareholders Equity'!J23</f>
        <v>504</v>
      </c>
      <c r="K41" s="155">
        <f>'Shareholders Equity'!K23</f>
        <v>504</v>
      </c>
      <c r="L41" s="155">
        <f>'Shareholders Equity'!L23</f>
        <v>504</v>
      </c>
    </row>
    <row r="42" spans="2:12" ht="14" x14ac:dyDescent="0.15">
      <c r="B42" s="249" t="s">
        <v>229</v>
      </c>
      <c r="C42" s="49"/>
      <c r="D42" s="45"/>
      <c r="E42" s="45"/>
      <c r="F42" s="45"/>
      <c r="G42" s="45">
        <v>-99</v>
      </c>
      <c r="H42" s="155"/>
      <c r="I42" s="155"/>
      <c r="J42" s="155"/>
      <c r="K42" s="155"/>
    </row>
    <row r="43" spans="2:12" ht="14" x14ac:dyDescent="0.15">
      <c r="B43" s="252" t="s">
        <v>83</v>
      </c>
      <c r="C43" s="252">
        <f>SUM(C37:C41)</f>
        <v>0</v>
      </c>
      <c r="D43" s="252"/>
      <c r="E43" s="252">
        <f>SUM(E36:E41)</f>
        <v>-2679</v>
      </c>
      <c r="F43" s="252">
        <f>SUM(F36:F41)</f>
        <v>-870</v>
      </c>
      <c r="G43" s="252">
        <f>SUM(G36:G42)</f>
        <v>-2919</v>
      </c>
      <c r="H43" s="252">
        <f ca="1">SUM(H35:H42)</f>
        <v>-2409.4279809423679</v>
      </c>
      <c r="I43" s="252">
        <f t="shared" ref="I43:L43" ca="1" si="3">SUM(I35:I42)</f>
        <v>-3248.7069988194216</v>
      </c>
      <c r="J43" s="252">
        <f t="shared" ca="1" si="3"/>
        <v>-2339.0218878341848</v>
      </c>
      <c r="K43" s="252">
        <f t="shared" ca="1" si="3"/>
        <v>-3724.323903831918</v>
      </c>
      <c r="L43" s="252">
        <f t="shared" ca="1" si="3"/>
        <v>-2340.1945434283871</v>
      </c>
    </row>
    <row r="44" spans="2:12" ht="14" x14ac:dyDescent="0.15">
      <c r="B44" s="43"/>
      <c r="C44" s="251"/>
      <c r="D44" s="43"/>
      <c r="E44" s="43"/>
      <c r="F44" s="43"/>
      <c r="G44" s="43"/>
      <c r="H44" s="43"/>
      <c r="I44" s="43"/>
      <c r="J44" s="43"/>
      <c r="K44" s="43"/>
      <c r="L44" s="43"/>
    </row>
    <row r="45" spans="2:12" ht="14" x14ac:dyDescent="0.15">
      <c r="B45" s="43" t="s">
        <v>84</v>
      </c>
      <c r="C45" s="49"/>
      <c r="D45" s="49"/>
      <c r="E45" s="49">
        <v>-16</v>
      </c>
      <c r="F45" s="49">
        <v>-7</v>
      </c>
      <c r="G45" s="49">
        <v>-16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</row>
    <row r="46" spans="2:12" ht="18" customHeight="1" x14ac:dyDescent="0.15">
      <c r="B46" s="43" t="s">
        <v>85</v>
      </c>
      <c r="C46" s="251">
        <f>C22+C30+C43+C45</f>
        <v>0</v>
      </c>
      <c r="D46" s="251"/>
      <c r="E46" s="251">
        <f t="shared" ref="E46:G46" si="4">E22+E30+E43+E45</f>
        <v>-809</v>
      </c>
      <c r="F46" s="251">
        <f t="shared" si="4"/>
        <v>157</v>
      </c>
      <c r="G46" s="251">
        <f t="shared" si="4"/>
        <v>5</v>
      </c>
      <c r="H46" s="251">
        <f ca="1">H22+H30+H43+H45</f>
        <v>-388.00000000000023</v>
      </c>
      <c r="I46" s="251">
        <f t="shared" ref="I46:L46" ca="1" si="5">I22+I30+I43+I45</f>
        <v>0</v>
      </c>
      <c r="J46" s="251">
        <f t="shared" ca="1" si="5"/>
        <v>0</v>
      </c>
      <c r="K46" s="251">
        <f t="shared" ca="1" si="5"/>
        <v>151.27502332969652</v>
      </c>
      <c r="L46" s="251">
        <f ca="1">L22+L30+L43+L45</f>
        <v>0</v>
      </c>
    </row>
    <row r="47" spans="2:12" ht="14" x14ac:dyDescent="0.15">
      <c r="B47" s="43"/>
      <c r="C47" s="251"/>
      <c r="D47" s="43"/>
      <c r="E47" s="43"/>
      <c r="F47" s="43"/>
      <c r="G47" s="43"/>
      <c r="H47" s="43"/>
      <c r="I47" s="43"/>
      <c r="J47" s="43"/>
      <c r="K47" s="43"/>
      <c r="L47" s="43"/>
    </row>
    <row r="48" spans="2:12" ht="14" x14ac:dyDescent="0.15">
      <c r="B48" s="43" t="s">
        <v>86</v>
      </c>
      <c r="C48" s="49"/>
      <c r="D48" s="45"/>
      <c r="E48" s="253">
        <v>1535</v>
      </c>
      <c r="F48" s="45">
        <v>726</v>
      </c>
      <c r="G48" s="45">
        <v>883</v>
      </c>
      <c r="H48" s="5">
        <f>G49</f>
        <v>888</v>
      </c>
      <c r="I48" s="5">
        <f t="shared" ref="I48:L48" ca="1" si="6">H49</f>
        <v>499.99999999999977</v>
      </c>
      <c r="J48" s="5">
        <f t="shared" ca="1" si="6"/>
        <v>499.99999999999977</v>
      </c>
      <c r="K48" s="5">
        <f t="shared" ca="1" si="6"/>
        <v>499.99999999999977</v>
      </c>
      <c r="L48" s="5">
        <f t="shared" ca="1" si="6"/>
        <v>651.2750233296963</v>
      </c>
    </row>
    <row r="49" spans="1:12" ht="15" thickBot="1" x14ac:dyDescent="0.2">
      <c r="B49" s="50" t="s">
        <v>87</v>
      </c>
      <c r="C49" s="50">
        <f>C48+C46</f>
        <v>0</v>
      </c>
      <c r="D49" s="50"/>
      <c r="E49" s="50">
        <f t="shared" ref="E49:G49" si="7">E48+E46</f>
        <v>726</v>
      </c>
      <c r="F49" s="50">
        <f t="shared" si="7"/>
        <v>883</v>
      </c>
      <c r="G49" s="50">
        <f t="shared" si="7"/>
        <v>888</v>
      </c>
      <c r="H49" s="50">
        <f ca="1">H48+H46</f>
        <v>499.99999999999977</v>
      </c>
      <c r="I49" s="50">
        <f t="shared" ref="I49:L49" ca="1" si="8">I48+I46</f>
        <v>499.99999999999977</v>
      </c>
      <c r="J49" s="50">
        <f t="shared" ca="1" si="8"/>
        <v>499.99999999999977</v>
      </c>
      <c r="K49" s="50">
        <f t="shared" ca="1" si="8"/>
        <v>651.2750233296963</v>
      </c>
      <c r="L49" s="50">
        <f t="shared" ca="1" si="8"/>
        <v>651.2750233296963</v>
      </c>
    </row>
    <row r="50" spans="1:12" ht="15" thickTop="1" x14ac:dyDescent="0.15">
      <c r="B50" s="43"/>
      <c r="C50" s="248"/>
      <c r="D50" s="43"/>
      <c r="E50" s="43"/>
      <c r="F50" s="43"/>
      <c r="G50" s="43"/>
    </row>
    <row r="51" spans="1:12" ht="14" x14ac:dyDescent="0.15">
      <c r="B51" s="247" t="s">
        <v>88</v>
      </c>
      <c r="C51" s="248"/>
      <c r="D51" s="43"/>
      <c r="E51" s="43"/>
      <c r="F51" s="43"/>
      <c r="G51" s="43"/>
    </row>
    <row r="52" spans="1:12" ht="14" x14ac:dyDescent="0.15">
      <c r="B52" s="43"/>
      <c r="C52" s="248" t="s">
        <v>70</v>
      </c>
      <c r="D52" s="43"/>
      <c r="E52" s="43"/>
      <c r="F52" s="43"/>
      <c r="G52" s="43"/>
    </row>
    <row r="53" spans="1:12" ht="14" x14ac:dyDescent="0.15">
      <c r="B53" s="43" t="s">
        <v>89</v>
      </c>
      <c r="C53" s="44"/>
      <c r="D53" s="44"/>
      <c r="E53" s="44">
        <v>847</v>
      </c>
      <c r="F53" s="44">
        <v>803</v>
      </c>
      <c r="G53" s="44">
        <v>845</v>
      </c>
    </row>
    <row r="54" spans="1:12" ht="14" x14ac:dyDescent="0.15">
      <c r="B54" s="43" t="s">
        <v>90</v>
      </c>
      <c r="C54" s="250"/>
      <c r="D54" s="250"/>
      <c r="E54" s="250">
        <v>194</v>
      </c>
      <c r="F54" s="250">
        <v>185</v>
      </c>
      <c r="G54" s="250">
        <v>188</v>
      </c>
    </row>
    <row r="55" spans="1:12" x14ac:dyDescent="0.15">
      <c r="C55" s="287"/>
      <c r="D55" s="287"/>
      <c r="E55" s="254"/>
    </row>
    <row r="56" spans="1:12" ht="14" x14ac:dyDescent="0.15">
      <c r="A56" s="284"/>
      <c r="B56" s="243"/>
      <c r="C56" s="243"/>
      <c r="D56" s="243"/>
      <c r="E56" s="243"/>
      <c r="F56" s="243"/>
      <c r="G56" s="243"/>
    </row>
    <row r="57" spans="1:12" ht="16" x14ac:dyDescent="0.2">
      <c r="A57" s="288"/>
      <c r="B57" s="243"/>
      <c r="C57" s="243"/>
      <c r="D57" s="243"/>
      <c r="E57" s="243"/>
      <c r="F57" s="243"/>
      <c r="G57" s="243"/>
    </row>
    <row r="58" spans="1:12" ht="14" x14ac:dyDescent="0.15">
      <c r="A58" s="243"/>
      <c r="B58" s="243"/>
      <c r="C58" s="243"/>
      <c r="D58" s="243"/>
      <c r="E58" s="243"/>
      <c r="F58" s="243"/>
      <c r="G58" s="243"/>
    </row>
    <row r="59" spans="1:12" ht="14" x14ac:dyDescent="0.15">
      <c r="A59" s="243"/>
      <c r="B59" s="243"/>
      <c r="C59" s="243"/>
      <c r="D59" s="243"/>
      <c r="E59" s="243"/>
      <c r="F59" s="243"/>
      <c r="G59" s="243"/>
    </row>
    <row r="60" spans="1:12" ht="14" x14ac:dyDescent="0.15">
      <c r="A60" s="243"/>
      <c r="B60" s="243"/>
      <c r="C60" s="243"/>
      <c r="D60" s="243"/>
      <c r="E60" s="243"/>
      <c r="F60" s="243"/>
      <c r="G60" s="243"/>
    </row>
  </sheetData>
  <pageMargins left="0.75" right="0.75" top="1" bottom="1" header="0.5" footer="0.5"/>
  <pageSetup scale="9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1"/>
  <sheetViews>
    <sheetView showGridLines="0" zoomScale="150" zoomScaleNormal="150" workbookViewId="0">
      <pane xSplit="2" ySplit="5" topLeftCell="C33" activePane="bottomRight" state="frozen"/>
      <selection pane="topRight" activeCell="C1" sqref="C1"/>
      <selection pane="bottomLeft" activeCell="A6" sqref="A6"/>
      <selection pane="bottomRight" activeCell="D38" sqref="D38"/>
    </sheetView>
  </sheetViews>
  <sheetFormatPr baseColWidth="10" defaultColWidth="8.83203125" defaultRowHeight="14" x14ac:dyDescent="0.15"/>
  <cols>
    <col min="1" max="1" width="2.5" style="15" customWidth="1"/>
    <col min="2" max="2" width="47.33203125" style="15" customWidth="1"/>
    <col min="3" max="4" width="10.5" style="15" customWidth="1"/>
    <col min="5" max="9" width="10.6640625" style="15" bestFit="1" customWidth="1"/>
    <col min="10" max="12" width="9.33203125" style="15" bestFit="1" customWidth="1"/>
    <col min="13" max="255" width="9.1640625" style="15"/>
    <col min="256" max="256" width="48.1640625" style="15" bestFit="1" customWidth="1"/>
    <col min="257" max="267" width="9.1640625" style="15"/>
    <col min="268" max="268" width="26.33203125" style="15" bestFit="1" customWidth="1"/>
    <col min="269" max="511" width="9.1640625" style="15"/>
    <col min="512" max="512" width="48.1640625" style="15" bestFit="1" customWidth="1"/>
    <col min="513" max="523" width="9.1640625" style="15"/>
    <col min="524" max="524" width="26.33203125" style="15" bestFit="1" customWidth="1"/>
    <col min="525" max="767" width="9.1640625" style="15"/>
    <col min="768" max="768" width="48.1640625" style="15" bestFit="1" customWidth="1"/>
    <col min="769" max="779" width="9.1640625" style="15"/>
    <col min="780" max="780" width="26.33203125" style="15" bestFit="1" customWidth="1"/>
    <col min="781" max="1023" width="9.1640625" style="15"/>
    <col min="1024" max="1024" width="48.1640625" style="15" bestFit="1" customWidth="1"/>
    <col min="1025" max="1035" width="9.1640625" style="15"/>
    <col min="1036" max="1036" width="26.33203125" style="15" bestFit="1" customWidth="1"/>
    <col min="1037" max="1279" width="9.1640625" style="15"/>
    <col min="1280" max="1280" width="48.1640625" style="15" bestFit="1" customWidth="1"/>
    <col min="1281" max="1291" width="9.1640625" style="15"/>
    <col min="1292" max="1292" width="26.33203125" style="15" bestFit="1" customWidth="1"/>
    <col min="1293" max="1535" width="9.1640625" style="15"/>
    <col min="1536" max="1536" width="48.1640625" style="15" bestFit="1" customWidth="1"/>
    <col min="1537" max="1547" width="9.1640625" style="15"/>
    <col min="1548" max="1548" width="26.33203125" style="15" bestFit="1" customWidth="1"/>
    <col min="1549" max="1791" width="9.1640625" style="15"/>
    <col min="1792" max="1792" width="48.1640625" style="15" bestFit="1" customWidth="1"/>
    <col min="1793" max="1803" width="9.1640625" style="15"/>
    <col min="1804" max="1804" width="26.33203125" style="15" bestFit="1" customWidth="1"/>
    <col min="1805" max="2047" width="9.1640625" style="15"/>
    <col min="2048" max="2048" width="48.1640625" style="15" bestFit="1" customWidth="1"/>
    <col min="2049" max="2059" width="9.1640625" style="15"/>
    <col min="2060" max="2060" width="26.33203125" style="15" bestFit="1" customWidth="1"/>
    <col min="2061" max="2303" width="9.1640625" style="15"/>
    <col min="2304" max="2304" width="48.1640625" style="15" bestFit="1" customWidth="1"/>
    <col min="2305" max="2315" width="9.1640625" style="15"/>
    <col min="2316" max="2316" width="26.33203125" style="15" bestFit="1" customWidth="1"/>
    <col min="2317" max="2559" width="9.1640625" style="15"/>
    <col min="2560" max="2560" width="48.1640625" style="15" bestFit="1" customWidth="1"/>
    <col min="2561" max="2571" width="9.1640625" style="15"/>
    <col min="2572" max="2572" width="26.33203125" style="15" bestFit="1" customWidth="1"/>
    <col min="2573" max="2815" width="9.1640625" style="15"/>
    <col min="2816" max="2816" width="48.1640625" style="15" bestFit="1" customWidth="1"/>
    <col min="2817" max="2827" width="9.1640625" style="15"/>
    <col min="2828" max="2828" width="26.33203125" style="15" bestFit="1" customWidth="1"/>
    <col min="2829" max="3071" width="9.1640625" style="15"/>
    <col min="3072" max="3072" width="48.1640625" style="15" bestFit="1" customWidth="1"/>
    <col min="3073" max="3083" width="9.1640625" style="15"/>
    <col min="3084" max="3084" width="26.33203125" style="15" bestFit="1" customWidth="1"/>
    <col min="3085" max="3327" width="9.1640625" style="15"/>
    <col min="3328" max="3328" width="48.1640625" style="15" bestFit="1" customWidth="1"/>
    <col min="3329" max="3339" width="9.1640625" style="15"/>
    <col min="3340" max="3340" width="26.33203125" style="15" bestFit="1" customWidth="1"/>
    <col min="3341" max="3583" width="9.1640625" style="15"/>
    <col min="3584" max="3584" width="48.1640625" style="15" bestFit="1" customWidth="1"/>
    <col min="3585" max="3595" width="9.1640625" style="15"/>
    <col min="3596" max="3596" width="26.33203125" style="15" bestFit="1" customWidth="1"/>
    <col min="3597" max="3839" width="9.1640625" style="15"/>
    <col min="3840" max="3840" width="48.1640625" style="15" bestFit="1" customWidth="1"/>
    <col min="3841" max="3851" width="9.1640625" style="15"/>
    <col min="3852" max="3852" width="26.33203125" style="15" bestFit="1" customWidth="1"/>
    <col min="3853" max="4095" width="9.1640625" style="15"/>
    <col min="4096" max="4096" width="48.1640625" style="15" bestFit="1" customWidth="1"/>
    <col min="4097" max="4107" width="9.1640625" style="15"/>
    <col min="4108" max="4108" width="26.33203125" style="15" bestFit="1" customWidth="1"/>
    <col min="4109" max="4351" width="9.1640625" style="15"/>
    <col min="4352" max="4352" width="48.1640625" style="15" bestFit="1" customWidth="1"/>
    <col min="4353" max="4363" width="9.1640625" style="15"/>
    <col min="4364" max="4364" width="26.33203125" style="15" bestFit="1" customWidth="1"/>
    <col min="4365" max="4607" width="9.1640625" style="15"/>
    <col min="4608" max="4608" width="48.1640625" style="15" bestFit="1" customWidth="1"/>
    <col min="4609" max="4619" width="9.1640625" style="15"/>
    <col min="4620" max="4620" width="26.33203125" style="15" bestFit="1" customWidth="1"/>
    <col min="4621" max="4863" width="9.1640625" style="15"/>
    <col min="4864" max="4864" width="48.1640625" style="15" bestFit="1" customWidth="1"/>
    <col min="4865" max="4875" width="9.1640625" style="15"/>
    <col min="4876" max="4876" width="26.33203125" style="15" bestFit="1" customWidth="1"/>
    <col min="4877" max="5119" width="9.1640625" style="15"/>
    <col min="5120" max="5120" width="48.1640625" style="15" bestFit="1" customWidth="1"/>
    <col min="5121" max="5131" width="9.1640625" style="15"/>
    <col min="5132" max="5132" width="26.33203125" style="15" bestFit="1" customWidth="1"/>
    <col min="5133" max="5375" width="9.1640625" style="15"/>
    <col min="5376" max="5376" width="48.1640625" style="15" bestFit="1" customWidth="1"/>
    <col min="5377" max="5387" width="9.1640625" style="15"/>
    <col min="5388" max="5388" width="26.33203125" style="15" bestFit="1" customWidth="1"/>
    <col min="5389" max="5631" width="9.1640625" style="15"/>
    <col min="5632" max="5632" width="48.1640625" style="15" bestFit="1" customWidth="1"/>
    <col min="5633" max="5643" width="9.1640625" style="15"/>
    <col min="5644" max="5644" width="26.33203125" style="15" bestFit="1" customWidth="1"/>
    <col min="5645" max="5887" width="9.1640625" style="15"/>
    <col min="5888" max="5888" width="48.1640625" style="15" bestFit="1" customWidth="1"/>
    <col min="5889" max="5899" width="9.1640625" style="15"/>
    <col min="5900" max="5900" width="26.33203125" style="15" bestFit="1" customWidth="1"/>
    <col min="5901" max="6143" width="9.1640625" style="15"/>
    <col min="6144" max="6144" width="48.1640625" style="15" bestFit="1" customWidth="1"/>
    <col min="6145" max="6155" width="9.1640625" style="15"/>
    <col min="6156" max="6156" width="26.33203125" style="15" bestFit="1" customWidth="1"/>
    <col min="6157" max="6399" width="9.1640625" style="15"/>
    <col min="6400" max="6400" width="48.1640625" style="15" bestFit="1" customWidth="1"/>
    <col min="6401" max="6411" width="9.1640625" style="15"/>
    <col min="6412" max="6412" width="26.33203125" style="15" bestFit="1" customWidth="1"/>
    <col min="6413" max="6655" width="9.1640625" style="15"/>
    <col min="6656" max="6656" width="48.1640625" style="15" bestFit="1" customWidth="1"/>
    <col min="6657" max="6667" width="9.1640625" style="15"/>
    <col min="6668" max="6668" width="26.33203125" style="15" bestFit="1" customWidth="1"/>
    <col min="6669" max="6911" width="9.1640625" style="15"/>
    <col min="6912" max="6912" width="48.1640625" style="15" bestFit="1" customWidth="1"/>
    <col min="6913" max="6923" width="9.1640625" style="15"/>
    <col min="6924" max="6924" width="26.33203125" style="15" bestFit="1" customWidth="1"/>
    <col min="6925" max="7167" width="9.1640625" style="15"/>
    <col min="7168" max="7168" width="48.1640625" style="15" bestFit="1" customWidth="1"/>
    <col min="7169" max="7179" width="9.1640625" style="15"/>
    <col min="7180" max="7180" width="26.33203125" style="15" bestFit="1" customWidth="1"/>
    <col min="7181" max="7423" width="9.1640625" style="15"/>
    <col min="7424" max="7424" width="48.1640625" style="15" bestFit="1" customWidth="1"/>
    <col min="7425" max="7435" width="9.1640625" style="15"/>
    <col min="7436" max="7436" width="26.33203125" style="15" bestFit="1" customWidth="1"/>
    <col min="7437" max="7679" width="9.1640625" style="15"/>
    <col min="7680" max="7680" width="48.1640625" style="15" bestFit="1" customWidth="1"/>
    <col min="7681" max="7691" width="9.1640625" style="15"/>
    <col min="7692" max="7692" width="26.33203125" style="15" bestFit="1" customWidth="1"/>
    <col min="7693" max="7935" width="9.1640625" style="15"/>
    <col min="7936" max="7936" width="48.1640625" style="15" bestFit="1" customWidth="1"/>
    <col min="7937" max="7947" width="9.1640625" style="15"/>
    <col min="7948" max="7948" width="26.33203125" style="15" bestFit="1" customWidth="1"/>
    <col min="7949" max="8191" width="9.1640625" style="15"/>
    <col min="8192" max="8192" width="48.1640625" style="15" bestFit="1" customWidth="1"/>
    <col min="8193" max="8203" width="9.1640625" style="15"/>
    <col min="8204" max="8204" width="26.33203125" style="15" bestFit="1" customWidth="1"/>
    <col min="8205" max="8447" width="9.1640625" style="15"/>
    <col min="8448" max="8448" width="48.1640625" style="15" bestFit="1" customWidth="1"/>
    <col min="8449" max="8459" width="9.1640625" style="15"/>
    <col min="8460" max="8460" width="26.33203125" style="15" bestFit="1" customWidth="1"/>
    <col min="8461" max="8703" width="9.1640625" style="15"/>
    <col min="8704" max="8704" width="48.1640625" style="15" bestFit="1" customWidth="1"/>
    <col min="8705" max="8715" width="9.1640625" style="15"/>
    <col min="8716" max="8716" width="26.33203125" style="15" bestFit="1" customWidth="1"/>
    <col min="8717" max="8959" width="9.1640625" style="15"/>
    <col min="8960" max="8960" width="48.1640625" style="15" bestFit="1" customWidth="1"/>
    <col min="8961" max="8971" width="9.1640625" style="15"/>
    <col min="8972" max="8972" width="26.33203125" style="15" bestFit="1" customWidth="1"/>
    <col min="8973" max="9215" width="9.1640625" style="15"/>
    <col min="9216" max="9216" width="48.1640625" style="15" bestFit="1" customWidth="1"/>
    <col min="9217" max="9227" width="9.1640625" style="15"/>
    <col min="9228" max="9228" width="26.33203125" style="15" bestFit="1" customWidth="1"/>
    <col min="9229" max="9471" width="9.1640625" style="15"/>
    <col min="9472" max="9472" width="48.1640625" style="15" bestFit="1" customWidth="1"/>
    <col min="9473" max="9483" width="9.1640625" style="15"/>
    <col min="9484" max="9484" width="26.33203125" style="15" bestFit="1" customWidth="1"/>
    <col min="9485" max="9727" width="9.1640625" style="15"/>
    <col min="9728" max="9728" width="48.1640625" style="15" bestFit="1" customWidth="1"/>
    <col min="9729" max="9739" width="9.1640625" style="15"/>
    <col min="9740" max="9740" width="26.33203125" style="15" bestFit="1" customWidth="1"/>
    <col min="9741" max="9983" width="9.1640625" style="15"/>
    <col min="9984" max="9984" width="48.1640625" style="15" bestFit="1" customWidth="1"/>
    <col min="9985" max="9995" width="9.1640625" style="15"/>
    <col min="9996" max="9996" width="26.33203125" style="15" bestFit="1" customWidth="1"/>
    <col min="9997" max="10239" width="9.1640625" style="15"/>
    <col min="10240" max="10240" width="48.1640625" style="15" bestFit="1" customWidth="1"/>
    <col min="10241" max="10251" width="9.1640625" style="15"/>
    <col min="10252" max="10252" width="26.33203125" style="15" bestFit="1" customWidth="1"/>
    <col min="10253" max="10495" width="9.1640625" style="15"/>
    <col min="10496" max="10496" width="48.1640625" style="15" bestFit="1" customWidth="1"/>
    <col min="10497" max="10507" width="9.1640625" style="15"/>
    <col min="10508" max="10508" width="26.33203125" style="15" bestFit="1" customWidth="1"/>
    <col min="10509" max="10751" width="9.1640625" style="15"/>
    <col min="10752" max="10752" width="48.1640625" style="15" bestFit="1" customWidth="1"/>
    <col min="10753" max="10763" width="9.1640625" style="15"/>
    <col min="10764" max="10764" width="26.33203125" style="15" bestFit="1" customWidth="1"/>
    <col min="10765" max="11007" width="9.1640625" style="15"/>
    <col min="11008" max="11008" width="48.1640625" style="15" bestFit="1" customWidth="1"/>
    <col min="11009" max="11019" width="9.1640625" style="15"/>
    <col min="11020" max="11020" width="26.33203125" style="15" bestFit="1" customWidth="1"/>
    <col min="11021" max="11263" width="9.1640625" style="15"/>
    <col min="11264" max="11264" width="48.1640625" style="15" bestFit="1" customWidth="1"/>
    <col min="11265" max="11275" width="9.1640625" style="15"/>
    <col min="11276" max="11276" width="26.33203125" style="15" bestFit="1" customWidth="1"/>
    <col min="11277" max="11519" width="9.1640625" style="15"/>
    <col min="11520" max="11520" width="48.1640625" style="15" bestFit="1" customWidth="1"/>
    <col min="11521" max="11531" width="9.1640625" style="15"/>
    <col min="11532" max="11532" width="26.33203125" style="15" bestFit="1" customWidth="1"/>
    <col min="11533" max="11775" width="9.1640625" style="15"/>
    <col min="11776" max="11776" width="48.1640625" style="15" bestFit="1" customWidth="1"/>
    <col min="11777" max="11787" width="9.1640625" style="15"/>
    <col min="11788" max="11788" width="26.33203125" style="15" bestFit="1" customWidth="1"/>
    <col min="11789" max="12031" width="9.1640625" style="15"/>
    <col min="12032" max="12032" width="48.1640625" style="15" bestFit="1" customWidth="1"/>
    <col min="12033" max="12043" width="9.1640625" style="15"/>
    <col min="12044" max="12044" width="26.33203125" style="15" bestFit="1" customWidth="1"/>
    <col min="12045" max="12287" width="9.1640625" style="15"/>
    <col min="12288" max="12288" width="48.1640625" style="15" bestFit="1" customWidth="1"/>
    <col min="12289" max="12299" width="9.1640625" style="15"/>
    <col min="12300" max="12300" width="26.33203125" style="15" bestFit="1" customWidth="1"/>
    <col min="12301" max="12543" width="9.1640625" style="15"/>
    <col min="12544" max="12544" width="48.1640625" style="15" bestFit="1" customWidth="1"/>
    <col min="12545" max="12555" width="9.1640625" style="15"/>
    <col min="12556" max="12556" width="26.33203125" style="15" bestFit="1" customWidth="1"/>
    <col min="12557" max="12799" width="9.1640625" style="15"/>
    <col min="12800" max="12800" width="48.1640625" style="15" bestFit="1" customWidth="1"/>
    <col min="12801" max="12811" width="9.1640625" style="15"/>
    <col min="12812" max="12812" width="26.33203125" style="15" bestFit="1" customWidth="1"/>
    <col min="12813" max="13055" width="9.1640625" style="15"/>
    <col min="13056" max="13056" width="48.1640625" style="15" bestFit="1" customWidth="1"/>
    <col min="13057" max="13067" width="9.1640625" style="15"/>
    <col min="13068" max="13068" width="26.33203125" style="15" bestFit="1" customWidth="1"/>
    <col min="13069" max="13311" width="9.1640625" style="15"/>
    <col min="13312" max="13312" width="48.1640625" style="15" bestFit="1" customWidth="1"/>
    <col min="13313" max="13323" width="9.1640625" style="15"/>
    <col min="13324" max="13324" width="26.33203125" style="15" bestFit="1" customWidth="1"/>
    <col min="13325" max="13567" width="9.1640625" style="15"/>
    <col min="13568" max="13568" width="48.1640625" style="15" bestFit="1" customWidth="1"/>
    <col min="13569" max="13579" width="9.1640625" style="15"/>
    <col min="13580" max="13580" width="26.33203125" style="15" bestFit="1" customWidth="1"/>
    <col min="13581" max="13823" width="9.1640625" style="15"/>
    <col min="13824" max="13824" width="48.1640625" style="15" bestFit="1" customWidth="1"/>
    <col min="13825" max="13835" width="9.1640625" style="15"/>
    <col min="13836" max="13836" width="26.33203125" style="15" bestFit="1" customWidth="1"/>
    <col min="13837" max="14079" width="9.1640625" style="15"/>
    <col min="14080" max="14080" width="48.1640625" style="15" bestFit="1" customWidth="1"/>
    <col min="14081" max="14091" width="9.1640625" style="15"/>
    <col min="14092" max="14092" width="26.33203125" style="15" bestFit="1" customWidth="1"/>
    <col min="14093" max="14335" width="9.1640625" style="15"/>
    <col min="14336" max="14336" width="48.1640625" style="15" bestFit="1" customWidth="1"/>
    <col min="14337" max="14347" width="9.1640625" style="15"/>
    <col min="14348" max="14348" width="26.33203125" style="15" bestFit="1" customWidth="1"/>
    <col min="14349" max="14591" width="9.1640625" style="15"/>
    <col min="14592" max="14592" width="48.1640625" style="15" bestFit="1" customWidth="1"/>
    <col min="14593" max="14603" width="9.1640625" style="15"/>
    <col min="14604" max="14604" width="26.33203125" style="15" bestFit="1" customWidth="1"/>
    <col min="14605" max="14847" width="9.1640625" style="15"/>
    <col min="14848" max="14848" width="48.1640625" style="15" bestFit="1" customWidth="1"/>
    <col min="14849" max="14859" width="9.1640625" style="15"/>
    <col min="14860" max="14860" width="26.33203125" style="15" bestFit="1" customWidth="1"/>
    <col min="14861" max="15103" width="9.1640625" style="15"/>
    <col min="15104" max="15104" width="48.1640625" style="15" bestFit="1" customWidth="1"/>
    <col min="15105" max="15115" width="9.1640625" style="15"/>
    <col min="15116" max="15116" width="26.33203125" style="15" bestFit="1" customWidth="1"/>
    <col min="15117" max="15359" width="9.1640625" style="15"/>
    <col min="15360" max="15360" width="48.1640625" style="15" bestFit="1" customWidth="1"/>
    <col min="15361" max="15371" width="9.1640625" style="15"/>
    <col min="15372" max="15372" width="26.33203125" style="15" bestFit="1" customWidth="1"/>
    <col min="15373" max="15615" width="9.1640625" style="15"/>
    <col min="15616" max="15616" width="48.1640625" style="15" bestFit="1" customWidth="1"/>
    <col min="15617" max="15627" width="9.1640625" style="15"/>
    <col min="15628" max="15628" width="26.33203125" style="15" bestFit="1" customWidth="1"/>
    <col min="15629" max="15871" width="9.1640625" style="15"/>
    <col min="15872" max="15872" width="48.1640625" style="15" bestFit="1" customWidth="1"/>
    <col min="15873" max="15883" width="9.1640625" style="15"/>
    <col min="15884" max="15884" width="26.33203125" style="15" bestFit="1" customWidth="1"/>
    <col min="15885" max="16127" width="9.1640625" style="15"/>
    <col min="16128" max="16128" width="48.1640625" style="15" bestFit="1" customWidth="1"/>
    <col min="16129" max="16139" width="9.1640625" style="15"/>
    <col min="16140" max="16140" width="26.33203125" style="15" bestFit="1" customWidth="1"/>
    <col min="16141" max="16384" width="9.1640625" style="15"/>
  </cols>
  <sheetData>
    <row r="1" spans="1:17" s="246" customFormat="1" ht="23" x14ac:dyDescent="0.25">
      <c r="A1" s="232" t="str">
        <f>IS!A1</f>
        <v>Colgate-Palmolive Company</v>
      </c>
      <c r="D1" s="281"/>
      <c r="H1" s="256"/>
    </row>
    <row r="2" spans="1:17" s="243" customFormat="1" ht="4.5" customHeight="1" x14ac:dyDescent="0.15"/>
    <row r="3" spans="1:17" s="243" customFormat="1" ht="20" x14ac:dyDescent="0.2">
      <c r="A3" s="257" t="s">
        <v>186</v>
      </c>
    </row>
    <row r="4" spans="1:17" ht="6" customHeight="1" x14ac:dyDescent="0.15"/>
    <row r="5" spans="1:17" s="41" customFormat="1" ht="15" thickBot="1" x14ac:dyDescent="0.2">
      <c r="B5" s="119"/>
      <c r="C5" s="42">
        <f>BS!C5</f>
        <v>42735</v>
      </c>
      <c r="D5" s="42">
        <f>BS!D5</f>
        <v>43100</v>
      </c>
      <c r="E5" s="42">
        <f>BS!E5</f>
        <v>43465</v>
      </c>
      <c r="F5" s="42">
        <f>BS!F5</f>
        <v>43830</v>
      </c>
      <c r="G5" s="42">
        <f>BS!G5</f>
        <v>44196</v>
      </c>
      <c r="H5" s="42">
        <f>BS!H5</f>
        <v>44561</v>
      </c>
      <c r="I5" s="42">
        <f>BS!I5</f>
        <v>44926</v>
      </c>
      <c r="J5" s="42">
        <f>BS!J5</f>
        <v>45291</v>
      </c>
      <c r="K5" s="42">
        <f>BS!K5</f>
        <v>45657</v>
      </c>
      <c r="L5" s="42">
        <f>BS!L5</f>
        <v>46022</v>
      </c>
    </row>
    <row r="6" spans="1:17" x14ac:dyDescent="0.15">
      <c r="B6" s="15" t="s">
        <v>92</v>
      </c>
      <c r="C6" s="166">
        <f>IS!C6</f>
        <v>15195</v>
      </c>
      <c r="D6" s="166">
        <f>IS!D6</f>
        <v>15454</v>
      </c>
      <c r="E6" s="166">
        <f>IS!E6</f>
        <v>15544</v>
      </c>
      <c r="F6" s="166">
        <f>IS!F6</f>
        <v>15693</v>
      </c>
      <c r="G6" s="166">
        <f>IS!G6</f>
        <v>16471</v>
      </c>
      <c r="H6" s="166">
        <f>IS!H6</f>
        <v>17222.39</v>
      </c>
      <c r="I6" s="166">
        <f>IS!I6</f>
        <v>18035.8243</v>
      </c>
      <c r="J6" s="166">
        <f>IS!J6</f>
        <v>18916.991657000002</v>
      </c>
      <c r="K6" s="166">
        <f>IS!K6</f>
        <v>19872.116844070002</v>
      </c>
      <c r="L6" s="166">
        <f>IS!L6</f>
        <v>20908.011637772906</v>
      </c>
    </row>
    <row r="7" spans="1:17" x14ac:dyDescent="0.15">
      <c r="B7" s="15" t="s">
        <v>181</v>
      </c>
      <c r="C7" s="166">
        <f>IS!C7</f>
        <v>6072</v>
      </c>
      <c r="D7" s="166">
        <f>IS!D7</f>
        <v>6174</v>
      </c>
      <c r="E7" s="166">
        <f>IS!E7</f>
        <v>6313</v>
      </c>
      <c r="F7" s="166">
        <f>IS!F7</f>
        <v>6368</v>
      </c>
      <c r="G7" s="166">
        <f>IS!G7</f>
        <v>6454</v>
      </c>
      <c r="H7" s="166">
        <f>IS!H7</f>
        <v>6888.9560000000001</v>
      </c>
      <c r="I7" s="166">
        <f>IS!I7</f>
        <v>7214.3297200000006</v>
      </c>
      <c r="J7" s="166">
        <f>IS!J7</f>
        <v>7566.7966628000013</v>
      </c>
      <c r="K7" s="166">
        <f>IS!K7</f>
        <v>7948.8467376280014</v>
      </c>
      <c r="L7" s="166">
        <f>IS!L7</f>
        <v>8363.2046551091626</v>
      </c>
    </row>
    <row r="9" spans="1:17" x14ac:dyDescent="0.15">
      <c r="B9" s="120" t="s">
        <v>94</v>
      </c>
    </row>
    <row r="10" spans="1:17" x14ac:dyDescent="0.15">
      <c r="B10" s="3" t="s">
        <v>213</v>
      </c>
      <c r="C10" s="109">
        <f>BS!C9</f>
        <v>1411</v>
      </c>
      <c r="D10" s="109">
        <f>BS!D9</f>
        <v>1480</v>
      </c>
      <c r="E10" s="109">
        <f>BS!E9</f>
        <v>1400</v>
      </c>
      <c r="F10" s="109">
        <f>BS!F9</f>
        <v>1440</v>
      </c>
      <c r="G10" s="109">
        <f>BS!G9</f>
        <v>1264</v>
      </c>
      <c r="H10" s="220">
        <f>2*H27*H6/$Q$10-G10</f>
        <v>1567.0778082191778</v>
      </c>
      <c r="I10" s="220">
        <f t="shared" ref="I10:L10" si="0">2*I27*I6/$Q$10-H10</f>
        <v>1397.7152273972611</v>
      </c>
      <c r="J10" s="220">
        <f t="shared" si="0"/>
        <v>1711.9272367671233</v>
      </c>
      <c r="K10" s="220">
        <f t="shared" si="0"/>
        <v>1554.7221074635618</v>
      </c>
      <c r="L10" s="220">
        <f t="shared" si="0"/>
        <v>1882.2113124443135</v>
      </c>
      <c r="P10" s="15" t="s">
        <v>93</v>
      </c>
      <c r="Q10" s="15">
        <v>365</v>
      </c>
    </row>
    <row r="11" spans="1:17" x14ac:dyDescent="0.15">
      <c r="B11" s="3" t="s">
        <v>24</v>
      </c>
      <c r="C11" s="109">
        <f>BS!C10</f>
        <v>1171</v>
      </c>
      <c r="D11" s="109">
        <f>BS!D10</f>
        <v>1221</v>
      </c>
      <c r="E11" s="109">
        <f>BS!E10</f>
        <v>1250</v>
      </c>
      <c r="F11" s="109">
        <f>BS!F10</f>
        <v>1400</v>
      </c>
      <c r="G11" s="109">
        <f>BS!G10</f>
        <v>1673</v>
      </c>
      <c r="H11" s="220">
        <f>2*H28*H7/$Q$10-G11</f>
        <v>1535.5548493150686</v>
      </c>
      <c r="I11" s="220">
        <f t="shared" ref="I11:L11" si="1">2*I28*I7/$Q$10-H11</f>
        <v>1824.5439243835622</v>
      </c>
      <c r="J11" s="220">
        <f t="shared" si="1"/>
        <v>1699.7175350027401</v>
      </c>
      <c r="K11" s="220">
        <f t="shared" si="1"/>
        <v>2002.4850551253703</v>
      </c>
      <c r="L11" s="220">
        <f t="shared" si="1"/>
        <v>1892.7061541035546</v>
      </c>
    </row>
    <row r="12" spans="1:17" x14ac:dyDescent="0.15">
      <c r="B12" s="3" t="s">
        <v>25</v>
      </c>
      <c r="C12" s="109">
        <f>BS!C11</f>
        <v>441</v>
      </c>
      <c r="D12" s="109">
        <f>BS!D11</f>
        <v>403</v>
      </c>
      <c r="E12" s="109">
        <f>BS!E11</f>
        <v>417</v>
      </c>
      <c r="F12" s="109">
        <f>BS!F11</f>
        <v>456</v>
      </c>
      <c r="G12" s="109">
        <f>BS!G11</f>
        <v>513</v>
      </c>
      <c r="H12" s="5">
        <f>H6*H29</f>
        <v>533.89409000000001</v>
      </c>
      <c r="I12" s="5">
        <f t="shared" ref="I12:L12" si="2">I6*I29</f>
        <v>559.11055329999999</v>
      </c>
      <c r="J12" s="5">
        <f t="shared" si="2"/>
        <v>586.42674136700009</v>
      </c>
      <c r="K12" s="5">
        <f t="shared" si="2"/>
        <v>616.03562216617001</v>
      </c>
      <c r="L12" s="5">
        <f t="shared" si="2"/>
        <v>648.14836077096004</v>
      </c>
    </row>
    <row r="13" spans="1:17" ht="15" thickBot="1" x14ac:dyDescent="0.2">
      <c r="B13" s="121" t="s">
        <v>95</v>
      </c>
      <c r="C13" s="117">
        <f>C10+C11+C12</f>
        <v>3023</v>
      </c>
      <c r="D13" s="117">
        <f t="shared" ref="D13:L13" si="3">D10+D11+D12</f>
        <v>3104</v>
      </c>
      <c r="E13" s="117">
        <f t="shared" si="3"/>
        <v>3067</v>
      </c>
      <c r="F13" s="117">
        <f t="shared" si="3"/>
        <v>3296</v>
      </c>
      <c r="G13" s="117">
        <f t="shared" si="3"/>
        <v>3450</v>
      </c>
      <c r="H13" s="117">
        <f t="shared" si="3"/>
        <v>3636.5267475342462</v>
      </c>
      <c r="I13" s="117">
        <f t="shared" si="3"/>
        <v>3781.3697050808232</v>
      </c>
      <c r="J13" s="117">
        <f t="shared" si="3"/>
        <v>3998.0715131368634</v>
      </c>
      <c r="K13" s="117">
        <f t="shared" si="3"/>
        <v>4173.2427847551025</v>
      </c>
      <c r="L13" s="117">
        <f t="shared" si="3"/>
        <v>4423.0658273188283</v>
      </c>
    </row>
    <row r="14" spans="1:17" x14ac:dyDescent="0.15">
      <c r="C14" s="110"/>
      <c r="D14" s="110"/>
      <c r="E14" s="110"/>
      <c r="F14" s="110"/>
      <c r="G14" s="110"/>
      <c r="H14" s="110"/>
      <c r="I14" s="110"/>
      <c r="J14" s="110"/>
      <c r="K14" s="110"/>
      <c r="L14" s="110"/>
    </row>
    <row r="15" spans="1:17" x14ac:dyDescent="0.15">
      <c r="B15" s="3" t="s">
        <v>37</v>
      </c>
      <c r="C15" s="109">
        <f>BS!C25</f>
        <v>1124</v>
      </c>
      <c r="D15" s="109">
        <f>BS!D25</f>
        <v>1212</v>
      </c>
      <c r="E15" s="109">
        <f>BS!E25</f>
        <v>1222</v>
      </c>
      <c r="F15" s="109">
        <f>BS!F25</f>
        <v>1237</v>
      </c>
      <c r="G15" s="109">
        <f>BS!G25</f>
        <v>1393</v>
      </c>
      <c r="H15" s="220">
        <f>2*H31*H24/$Q$10-G15</f>
        <v>1196.6205997372867</v>
      </c>
      <c r="I15" s="220">
        <f t="shared" ref="I15:L15" si="4">2*I31*I24/$Q$10-H15</f>
        <v>1681.3646915218615</v>
      </c>
      <c r="J15" s="220">
        <f t="shared" si="4"/>
        <v>1173.0896599265907</v>
      </c>
      <c r="K15" s="220">
        <f t="shared" si="4"/>
        <v>1991.9130690736515</v>
      </c>
      <c r="L15" s="220">
        <f t="shared" si="4"/>
        <v>1173.7844804393039</v>
      </c>
    </row>
    <row r="16" spans="1:17" x14ac:dyDescent="0.15">
      <c r="B16" s="3" t="s">
        <v>38</v>
      </c>
      <c r="C16" s="109">
        <f>BS!C26</f>
        <v>441</v>
      </c>
      <c r="D16" s="109">
        <f>BS!D26</f>
        <v>354</v>
      </c>
      <c r="E16" s="109">
        <f>BS!E26</f>
        <v>411</v>
      </c>
      <c r="F16" s="109">
        <f>BS!F26</f>
        <v>370</v>
      </c>
      <c r="G16" s="109">
        <f>BS!G26</f>
        <v>403</v>
      </c>
      <c r="H16" s="220">
        <f>H7*H32</f>
        <v>427.115272</v>
      </c>
      <c r="I16" s="220">
        <f t="shared" ref="I16:L16" si="5">I7*I32</f>
        <v>447.28844264000003</v>
      </c>
      <c r="J16" s="220">
        <f t="shared" si="5"/>
        <v>469.14139309360007</v>
      </c>
      <c r="K16" s="220">
        <f t="shared" si="5"/>
        <v>492.82849773293606</v>
      </c>
      <c r="L16" s="220">
        <f t="shared" si="5"/>
        <v>518.51868861676803</v>
      </c>
    </row>
    <row r="17" spans="2:12" x14ac:dyDescent="0.15">
      <c r="B17" s="3" t="s">
        <v>39</v>
      </c>
      <c r="C17" s="109">
        <f>BS!C27</f>
        <v>1727</v>
      </c>
      <c r="D17" s="109">
        <f>BS!D27</f>
        <v>1831</v>
      </c>
      <c r="E17" s="109">
        <f>BS!E27</f>
        <v>1696</v>
      </c>
      <c r="F17" s="109">
        <f>BS!F27</f>
        <v>1917</v>
      </c>
      <c r="G17" s="109">
        <f>BS!G27</f>
        <v>2341</v>
      </c>
      <c r="H17" s="220">
        <f>H7*H33</f>
        <v>2066.6867999999999</v>
      </c>
      <c r="I17" s="220">
        <f t="shared" ref="I17:L17" si="6">I7*I33</f>
        <v>2164.2989160000002</v>
      </c>
      <c r="J17" s="220">
        <f t="shared" si="6"/>
        <v>2270.0389988400002</v>
      </c>
      <c r="K17" s="220">
        <f t="shared" si="6"/>
        <v>2384.6540212884001</v>
      </c>
      <c r="L17" s="220">
        <f t="shared" si="6"/>
        <v>2508.9613965327485</v>
      </c>
    </row>
    <row r="18" spans="2:12" ht="15" thickBot="1" x14ac:dyDescent="0.2">
      <c r="B18" s="121" t="s">
        <v>96</v>
      </c>
      <c r="C18" s="118">
        <f>C15+C16+C17</f>
        <v>3292</v>
      </c>
      <c r="D18" s="118">
        <f t="shared" ref="D18:L18" si="7">D15+D16+D17</f>
        <v>3397</v>
      </c>
      <c r="E18" s="118">
        <f t="shared" si="7"/>
        <v>3329</v>
      </c>
      <c r="F18" s="118">
        <f t="shared" si="7"/>
        <v>3524</v>
      </c>
      <c r="G18" s="118">
        <f t="shared" si="7"/>
        <v>4137</v>
      </c>
      <c r="H18" s="118">
        <f t="shared" si="7"/>
        <v>3690.4226717372867</v>
      </c>
      <c r="I18" s="118">
        <f t="shared" si="7"/>
        <v>4292.9520501618617</v>
      </c>
      <c r="J18" s="118">
        <f t="shared" si="7"/>
        <v>3912.270051860191</v>
      </c>
      <c r="K18" s="118">
        <f t="shared" si="7"/>
        <v>4869.3955880949879</v>
      </c>
      <c r="L18" s="118">
        <f t="shared" si="7"/>
        <v>4201.2645655888209</v>
      </c>
    </row>
    <row r="19" spans="2:12" x14ac:dyDescent="0.15">
      <c r="C19" s="110"/>
      <c r="D19" s="110"/>
      <c r="E19" s="110"/>
      <c r="F19" s="110"/>
      <c r="G19" s="110"/>
      <c r="H19" s="110"/>
      <c r="I19" s="110"/>
      <c r="J19" s="110"/>
      <c r="K19" s="110"/>
      <c r="L19" s="110"/>
    </row>
    <row r="20" spans="2:12" x14ac:dyDescent="0.15">
      <c r="B20" s="16" t="s">
        <v>97</v>
      </c>
      <c r="C20" s="111">
        <f>C13-C18</f>
        <v>-269</v>
      </c>
      <c r="D20" s="111">
        <f t="shared" ref="D20:L20" si="8">D13-D18</f>
        <v>-293</v>
      </c>
      <c r="E20" s="111">
        <f t="shared" si="8"/>
        <v>-262</v>
      </c>
      <c r="F20" s="111">
        <f t="shared" si="8"/>
        <v>-228</v>
      </c>
      <c r="G20" s="111">
        <f t="shared" si="8"/>
        <v>-687</v>
      </c>
      <c r="H20" s="111">
        <f t="shared" si="8"/>
        <v>-53.895924203040522</v>
      </c>
      <c r="I20" s="111">
        <f t="shared" si="8"/>
        <v>-511.58234508103851</v>
      </c>
      <c r="J20" s="111">
        <f t="shared" si="8"/>
        <v>85.801461276672399</v>
      </c>
      <c r="K20" s="111">
        <f t="shared" si="8"/>
        <v>-696.15280333988539</v>
      </c>
      <c r="L20" s="111">
        <f t="shared" si="8"/>
        <v>221.80126173000735</v>
      </c>
    </row>
    <row r="21" spans="2:12" x14ac:dyDescent="0.15">
      <c r="C21" s="110"/>
      <c r="D21" s="110"/>
      <c r="E21" s="110"/>
      <c r="F21" s="110"/>
      <c r="G21" s="110"/>
      <c r="H21" s="110"/>
      <c r="I21" s="110"/>
      <c r="J21" s="110"/>
      <c r="K21" s="110"/>
      <c r="L21" s="110"/>
    </row>
    <row r="22" spans="2:12" x14ac:dyDescent="0.15">
      <c r="B22" s="15" t="s">
        <v>98</v>
      </c>
      <c r="C22" s="112"/>
      <c r="D22" s="111">
        <f>C20-D20</f>
        <v>24</v>
      </c>
      <c r="E22" s="111">
        <f t="shared" ref="E22:L22" si="9">D20-E20</f>
        <v>-31</v>
      </c>
      <c r="F22" s="111">
        <f t="shared" si="9"/>
        <v>-34</v>
      </c>
      <c r="G22" s="111">
        <f t="shared" si="9"/>
        <v>459</v>
      </c>
      <c r="H22" s="111">
        <f t="shared" si="9"/>
        <v>-633.10407579695948</v>
      </c>
      <c r="I22" s="111">
        <f t="shared" si="9"/>
        <v>457.68642087799799</v>
      </c>
      <c r="J22" s="111">
        <f t="shared" si="9"/>
        <v>-597.38380635771091</v>
      </c>
      <c r="K22" s="111">
        <f t="shared" si="9"/>
        <v>781.95426461655779</v>
      </c>
      <c r="L22" s="111">
        <f t="shared" si="9"/>
        <v>-917.95406506989275</v>
      </c>
    </row>
    <row r="23" spans="2:12" ht="15" thickBot="1" x14ac:dyDescent="0.2">
      <c r="C23" s="110"/>
      <c r="D23" s="110"/>
      <c r="E23" s="110"/>
      <c r="F23" s="110"/>
      <c r="G23" s="110"/>
      <c r="H23" s="110"/>
      <c r="I23" s="110"/>
      <c r="J23" s="110"/>
      <c r="K23" s="110"/>
      <c r="L23" s="110"/>
    </row>
    <row r="24" spans="2:12" ht="15" thickBot="1" x14ac:dyDescent="0.2">
      <c r="B24" s="160" t="s">
        <v>182</v>
      </c>
      <c r="C24" s="161"/>
      <c r="D24" s="161">
        <f>D7+D11-C11</f>
        <v>6224</v>
      </c>
      <c r="E24" s="161">
        <f t="shared" ref="E24:L24" si="10">E7+E11-D11</f>
        <v>6342</v>
      </c>
      <c r="F24" s="161">
        <f t="shared" si="10"/>
        <v>6518</v>
      </c>
      <c r="G24" s="161">
        <f t="shared" si="10"/>
        <v>6727</v>
      </c>
      <c r="H24" s="161">
        <f t="shared" si="10"/>
        <v>6751.5108493150692</v>
      </c>
      <c r="I24" s="161">
        <f t="shared" si="10"/>
        <v>7503.3187950684933</v>
      </c>
      <c r="J24" s="161">
        <f t="shared" si="10"/>
        <v>7441.9702734191796</v>
      </c>
      <c r="K24" s="161">
        <f t="shared" si="10"/>
        <v>8251.6142577506325</v>
      </c>
      <c r="L24" s="161">
        <f t="shared" si="10"/>
        <v>8253.4257540873477</v>
      </c>
    </row>
    <row r="25" spans="2:12" ht="15" customHeight="1" x14ac:dyDescent="0.15">
      <c r="C25" s="110"/>
      <c r="J25" s="110"/>
      <c r="K25" s="110"/>
      <c r="L25" s="110"/>
    </row>
    <row r="26" spans="2:12" ht="14" customHeight="1" x14ac:dyDescent="0.15">
      <c r="B26" s="120" t="s">
        <v>99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</row>
    <row r="27" spans="2:12" ht="15" customHeight="1" x14ac:dyDescent="0.15">
      <c r="B27" s="15" t="s">
        <v>100</v>
      </c>
      <c r="C27" s="110"/>
      <c r="D27" s="110">
        <f>$Q$10/(D6/AVERAGE(C10,D10))</f>
        <v>34.140513782839392</v>
      </c>
      <c r="E27" s="110">
        <f t="shared" ref="E27:G27" si="11">$Q$10/(E6/AVERAGE(D10,E10))</f>
        <v>33.813690169840456</v>
      </c>
      <c r="F27" s="110">
        <f t="shared" si="11"/>
        <v>33.027464474606518</v>
      </c>
      <c r="G27" s="110">
        <f t="shared" si="11"/>
        <v>29.96053670086819</v>
      </c>
      <c r="H27" s="296">
        <v>30</v>
      </c>
      <c r="I27" s="296">
        <v>30</v>
      </c>
      <c r="J27" s="296">
        <v>30</v>
      </c>
      <c r="K27" s="296">
        <v>30</v>
      </c>
      <c r="L27" s="296">
        <v>30</v>
      </c>
    </row>
    <row r="28" spans="2:12" ht="15" customHeight="1" x14ac:dyDescent="0.15">
      <c r="B28" s="15" t="s">
        <v>101</v>
      </c>
      <c r="C28" s="110"/>
      <c r="D28" s="110">
        <f t="shared" ref="D28:G28" si="12">$Q$10/(D7/AVERAGE(C11,D11))</f>
        <v>70.706187236799479</v>
      </c>
      <c r="E28" s="110">
        <f t="shared" si="12"/>
        <v>71.433153809599233</v>
      </c>
      <c r="F28" s="110">
        <f t="shared" si="12"/>
        <v>75.946136934673376</v>
      </c>
      <c r="G28" s="110">
        <f t="shared" si="12"/>
        <v>86.895336225596537</v>
      </c>
      <c r="H28" s="139">
        <v>85</v>
      </c>
      <c r="I28" s="139">
        <v>85</v>
      </c>
      <c r="J28" s="139">
        <v>85</v>
      </c>
      <c r="K28" s="139">
        <v>85</v>
      </c>
      <c r="L28" s="139">
        <v>85</v>
      </c>
    </row>
    <row r="29" spans="2:12" ht="15" customHeight="1" x14ac:dyDescent="0.15">
      <c r="B29" s="15" t="s">
        <v>102</v>
      </c>
      <c r="C29" s="113"/>
      <c r="D29" s="113">
        <f>D12/D6</f>
        <v>2.6077390966740003E-2</v>
      </c>
      <c r="E29" s="113">
        <f t="shared" ref="E29:G29" si="13">E12/E6</f>
        <v>2.6827071538857435E-2</v>
      </c>
      <c r="F29" s="113">
        <f t="shared" si="13"/>
        <v>2.9057541579047982E-2</v>
      </c>
      <c r="G29" s="113">
        <f t="shared" si="13"/>
        <v>3.1145649930180316E-2</v>
      </c>
      <c r="H29" s="140">
        <v>3.1E-2</v>
      </c>
      <c r="I29" s="140">
        <v>3.1E-2</v>
      </c>
      <c r="J29" s="140">
        <v>3.1E-2</v>
      </c>
      <c r="K29" s="140">
        <v>3.1E-2</v>
      </c>
      <c r="L29" s="140">
        <v>3.1E-2</v>
      </c>
    </row>
    <row r="30" spans="2:12" ht="14" customHeight="1" x14ac:dyDescent="0.15">
      <c r="C30" s="110"/>
      <c r="D30" s="110"/>
      <c r="E30" s="110"/>
      <c r="F30" s="110"/>
      <c r="G30" s="110"/>
      <c r="H30" s="139"/>
      <c r="I30" s="139"/>
      <c r="J30" s="139"/>
      <c r="K30" s="139"/>
      <c r="L30" s="139"/>
    </row>
    <row r="31" spans="2:12" ht="15" customHeight="1" x14ac:dyDescent="0.15">
      <c r="B31" s="15" t="s">
        <v>103</v>
      </c>
      <c r="C31" s="110"/>
      <c r="D31" s="110">
        <f>$Q$10/(D24/AVERAGE(D15,C15))</f>
        <v>68.496143958868885</v>
      </c>
      <c r="E31" s="110">
        <f t="shared" ref="E31:G31" si="14">$Q$10/(E24/AVERAGE(E15,D15))</f>
        <v>70.041784925890894</v>
      </c>
      <c r="F31" s="110">
        <f t="shared" si="14"/>
        <v>68.850490948143602</v>
      </c>
      <c r="G31" s="110">
        <f t="shared" si="14"/>
        <v>71.350527724096921</v>
      </c>
      <c r="H31" s="139">
        <v>70</v>
      </c>
      <c r="I31" s="139">
        <v>70</v>
      </c>
      <c r="J31" s="139">
        <v>70</v>
      </c>
      <c r="K31" s="139">
        <v>70</v>
      </c>
      <c r="L31" s="139">
        <v>70</v>
      </c>
    </row>
    <row r="32" spans="2:12" ht="15" customHeight="1" x14ac:dyDescent="0.15">
      <c r="B32" s="15" t="s">
        <v>183</v>
      </c>
      <c r="C32" s="112"/>
      <c r="D32" s="113">
        <f>D16/D7</f>
        <v>5.7337220602526724E-2</v>
      </c>
      <c r="E32" s="113">
        <f t="shared" ref="E32:G32" si="15">E16/E7</f>
        <v>6.5103754158086488E-2</v>
      </c>
      <c r="F32" s="113">
        <f t="shared" si="15"/>
        <v>5.8103015075376886E-2</v>
      </c>
      <c r="G32" s="113">
        <f t="shared" si="15"/>
        <v>6.2441896498295631E-2</v>
      </c>
      <c r="H32" s="140">
        <v>6.2E-2</v>
      </c>
      <c r="I32" s="140">
        <v>6.2E-2</v>
      </c>
      <c r="J32" s="140">
        <v>6.2E-2</v>
      </c>
      <c r="K32" s="140">
        <v>6.2E-2</v>
      </c>
      <c r="L32" s="140">
        <v>6.2E-2</v>
      </c>
    </row>
    <row r="33" spans="2:12" ht="15" customHeight="1" x14ac:dyDescent="0.15">
      <c r="B33" s="15" t="s">
        <v>184</v>
      </c>
      <c r="C33" s="112"/>
      <c r="D33" s="113">
        <f>D17/D7</f>
        <v>0.29656624554583738</v>
      </c>
      <c r="E33" s="113">
        <f t="shared" ref="E33:G33" si="16">E17/E7</f>
        <v>0.26865198796134959</v>
      </c>
      <c r="F33" s="113">
        <f t="shared" si="16"/>
        <v>0.301036432160804</v>
      </c>
      <c r="G33" s="113">
        <f t="shared" si="16"/>
        <v>0.36272079330647661</v>
      </c>
      <c r="H33" s="140">
        <v>0.3</v>
      </c>
      <c r="I33" s="140">
        <v>0.3</v>
      </c>
      <c r="J33" s="140">
        <v>0.3</v>
      </c>
      <c r="K33" s="140">
        <v>0.3</v>
      </c>
      <c r="L33" s="140">
        <v>0.3</v>
      </c>
    </row>
    <row r="34" spans="2:12" x14ac:dyDescent="0.15">
      <c r="C34" s="110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2:12" x14ac:dyDescent="0.15">
      <c r="B35" s="120" t="s">
        <v>104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2:12" x14ac:dyDescent="0.15">
      <c r="B36" s="3" t="s">
        <v>214</v>
      </c>
      <c r="C36" s="110"/>
      <c r="D36" s="112"/>
      <c r="E36" s="112">
        <f>D10-E10</f>
        <v>80</v>
      </c>
      <c r="F36" s="112">
        <f t="shared" ref="F36:L36" si="17">E10-F10</f>
        <v>-40</v>
      </c>
      <c r="G36" s="112">
        <f t="shared" si="17"/>
        <v>176</v>
      </c>
      <c r="H36" s="112">
        <f t="shared" si="17"/>
        <v>-303.07780821917777</v>
      </c>
      <c r="I36" s="112">
        <f t="shared" si="17"/>
        <v>169.36258082191671</v>
      </c>
      <c r="J36" s="112">
        <f t="shared" si="17"/>
        <v>-314.21200936986224</v>
      </c>
      <c r="K36" s="112">
        <f t="shared" si="17"/>
        <v>157.20512930356153</v>
      </c>
      <c r="L36" s="112">
        <f t="shared" si="17"/>
        <v>-327.48920498075177</v>
      </c>
    </row>
    <row r="37" spans="2:12" x14ac:dyDescent="0.15">
      <c r="B37" s="3" t="s">
        <v>24</v>
      </c>
      <c r="C37" s="110"/>
      <c r="D37" s="112"/>
      <c r="E37" s="112">
        <f>D11-E11</f>
        <v>-29</v>
      </c>
      <c r="F37" s="112">
        <f t="shared" ref="F37:L37" si="18">E11-F11</f>
        <v>-150</v>
      </c>
      <c r="G37" s="112">
        <f t="shared" si="18"/>
        <v>-273</v>
      </c>
      <c r="H37" s="112">
        <f t="shared" si="18"/>
        <v>137.44515068493138</v>
      </c>
      <c r="I37" s="112">
        <f t="shared" si="18"/>
        <v>-288.98907506849355</v>
      </c>
      <c r="J37" s="112">
        <f t="shared" si="18"/>
        <v>124.82638938082209</v>
      </c>
      <c r="K37" s="112">
        <f t="shared" si="18"/>
        <v>-302.76752012263023</v>
      </c>
      <c r="L37" s="112">
        <f t="shared" si="18"/>
        <v>109.77890102181573</v>
      </c>
    </row>
    <row r="38" spans="2:12" x14ac:dyDescent="0.15">
      <c r="B38" s="3" t="s">
        <v>25</v>
      </c>
      <c r="C38" s="110"/>
      <c r="D38" s="112"/>
      <c r="E38" s="112">
        <f>D12-E12</f>
        <v>-14</v>
      </c>
      <c r="F38" s="112">
        <f t="shared" ref="F38:L38" si="19">E12-F12</f>
        <v>-39</v>
      </c>
      <c r="G38" s="112">
        <f t="shared" si="19"/>
        <v>-57</v>
      </c>
      <c r="H38" s="112">
        <f t="shared" si="19"/>
        <v>-20.894090000000006</v>
      </c>
      <c r="I38" s="112">
        <f t="shared" si="19"/>
        <v>-25.216463299999987</v>
      </c>
      <c r="J38" s="112">
        <f t="shared" si="19"/>
        <v>-27.316188067000098</v>
      </c>
      <c r="K38" s="112">
        <f t="shared" si="19"/>
        <v>-29.608880799169924</v>
      </c>
      <c r="L38" s="112">
        <f t="shared" si="19"/>
        <v>-32.112738604790025</v>
      </c>
    </row>
    <row r="39" spans="2:12" x14ac:dyDescent="0.15">
      <c r="B39" s="3" t="s">
        <v>37</v>
      </c>
      <c r="C39" s="110"/>
      <c r="D39" s="112"/>
      <c r="E39" s="112">
        <f t="shared" ref="E39:L39" si="20">E15-D15</f>
        <v>10</v>
      </c>
      <c r="F39" s="112">
        <f t="shared" si="20"/>
        <v>15</v>
      </c>
      <c r="G39" s="112">
        <f t="shared" si="20"/>
        <v>156</v>
      </c>
      <c r="H39" s="112">
        <f t="shared" si="20"/>
        <v>-196.37940026271326</v>
      </c>
      <c r="I39" s="112">
        <f t="shared" si="20"/>
        <v>484.74409178457472</v>
      </c>
      <c r="J39" s="112">
        <f t="shared" si="20"/>
        <v>-508.27503159527078</v>
      </c>
      <c r="K39" s="112">
        <f t="shared" si="20"/>
        <v>818.82340914706083</v>
      </c>
      <c r="L39" s="112">
        <f t="shared" si="20"/>
        <v>-818.12858863434758</v>
      </c>
    </row>
    <row r="40" spans="2:12" x14ac:dyDescent="0.15">
      <c r="B40" s="3" t="s">
        <v>38</v>
      </c>
      <c r="C40" s="110"/>
      <c r="D40" s="112"/>
      <c r="E40" s="112">
        <f>E16-D16</f>
        <v>57</v>
      </c>
      <c r="F40" s="112">
        <f t="shared" ref="F40:L40" si="21">F16-E16</f>
        <v>-41</v>
      </c>
      <c r="G40" s="112">
        <f t="shared" si="21"/>
        <v>33</v>
      </c>
      <c r="H40" s="112">
        <f t="shared" si="21"/>
        <v>24.115272000000004</v>
      </c>
      <c r="I40" s="112">
        <f t="shared" si="21"/>
        <v>20.173170640000023</v>
      </c>
      <c r="J40" s="112">
        <f t="shared" si="21"/>
        <v>21.852950453600045</v>
      </c>
      <c r="K40" s="112">
        <f t="shared" si="21"/>
        <v>23.687104639335985</v>
      </c>
      <c r="L40" s="112">
        <f t="shared" si="21"/>
        <v>25.690190883831974</v>
      </c>
    </row>
    <row r="41" spans="2:12" x14ac:dyDescent="0.15">
      <c r="B41" s="3" t="s">
        <v>39</v>
      </c>
      <c r="C41" s="110"/>
      <c r="D41" s="112"/>
      <c r="E41" s="112">
        <f>E17-D17</f>
        <v>-135</v>
      </c>
      <c r="F41" s="112">
        <f t="shared" ref="F41:L41" si="22">F17-E17</f>
        <v>221</v>
      </c>
      <c r="G41" s="112">
        <f t="shared" si="22"/>
        <v>424</v>
      </c>
      <c r="H41" s="112">
        <f t="shared" si="22"/>
        <v>-274.31320000000005</v>
      </c>
      <c r="I41" s="112">
        <f t="shared" si="22"/>
        <v>97.612116000000242</v>
      </c>
      <c r="J41" s="112">
        <f t="shared" si="22"/>
        <v>105.74008284000001</v>
      </c>
      <c r="K41" s="112">
        <f t="shared" si="22"/>
        <v>114.61502244839994</v>
      </c>
      <c r="L41" s="112">
        <f t="shared" si="22"/>
        <v>124.30737524434835</v>
      </c>
    </row>
    <row r="42" spans="2:12" ht="15" thickBot="1" x14ac:dyDescent="0.2">
      <c r="B42" s="114" t="s">
        <v>105</v>
      </c>
      <c r="C42" s="115"/>
      <c r="D42" s="116"/>
      <c r="E42" s="116">
        <f>SUM(E36:E41)</f>
        <v>-31</v>
      </c>
      <c r="F42" s="116">
        <f t="shared" ref="F42:L42" si="23">SUM(F36:F41)</f>
        <v>-34</v>
      </c>
      <c r="G42" s="116">
        <f t="shared" si="23"/>
        <v>459</v>
      </c>
      <c r="H42" s="116">
        <f t="shared" si="23"/>
        <v>-633.10407579695971</v>
      </c>
      <c r="I42" s="116">
        <f t="shared" si="23"/>
        <v>457.68642087799816</v>
      </c>
      <c r="J42" s="116">
        <f t="shared" si="23"/>
        <v>-597.38380635771091</v>
      </c>
      <c r="K42" s="116">
        <f t="shared" si="23"/>
        <v>781.95426461655813</v>
      </c>
      <c r="L42" s="116">
        <f t="shared" si="23"/>
        <v>-917.95406506989343</v>
      </c>
    </row>
    <row r="43" spans="2:12" ht="15" thickTop="1" x14ac:dyDescent="0.15">
      <c r="C43" s="110"/>
      <c r="D43" s="112"/>
      <c r="E43" s="112"/>
      <c r="F43" s="112"/>
      <c r="G43" s="112"/>
      <c r="H43" s="112"/>
      <c r="I43" s="112"/>
      <c r="J43" s="112"/>
      <c r="K43" s="112"/>
      <c r="L43" s="112"/>
    </row>
    <row r="44" spans="2:12" x14ac:dyDescent="0.15">
      <c r="B44" s="310" t="s">
        <v>106</v>
      </c>
      <c r="C44" s="311"/>
      <c r="D44" s="111"/>
      <c r="E44" s="311">
        <f>E22-E42</f>
        <v>0</v>
      </c>
      <c r="F44" s="311">
        <f t="shared" ref="F44:L44" si="24">F22-F42</f>
        <v>0</v>
      </c>
      <c r="G44" s="311">
        <f t="shared" si="24"/>
        <v>0</v>
      </c>
      <c r="H44" s="311">
        <f t="shared" si="24"/>
        <v>0</v>
      </c>
      <c r="I44" s="311">
        <f t="shared" si="24"/>
        <v>0</v>
      </c>
      <c r="J44" s="311">
        <f t="shared" si="24"/>
        <v>0</v>
      </c>
      <c r="K44" s="311">
        <f t="shared" si="24"/>
        <v>0</v>
      </c>
      <c r="L44" s="311">
        <f t="shared" si="24"/>
        <v>0</v>
      </c>
    </row>
    <row r="45" spans="2:12" x14ac:dyDescent="0.15">
      <c r="C45" s="110"/>
      <c r="D45" s="110"/>
      <c r="F45" s="110"/>
      <c r="G45" s="110"/>
      <c r="H45" s="110"/>
      <c r="I45" s="110"/>
      <c r="J45" s="110"/>
      <c r="K45" s="110"/>
      <c r="L45" s="110"/>
    </row>
    <row r="46" spans="2:12" x14ac:dyDescent="0.15">
      <c r="C46" s="110"/>
      <c r="D46" s="110"/>
      <c r="E46" s="110"/>
      <c r="F46" s="110"/>
      <c r="G46" s="110"/>
      <c r="H46" s="110"/>
      <c r="I46" s="110"/>
      <c r="J46" s="110"/>
      <c r="K46" s="110"/>
      <c r="L46" s="110"/>
    </row>
    <row r="47" spans="2:12" x14ac:dyDescent="0.15">
      <c r="C47" s="110"/>
      <c r="D47" s="110"/>
      <c r="E47" s="110"/>
      <c r="F47" s="110"/>
      <c r="G47" s="110"/>
      <c r="H47" s="110"/>
      <c r="I47" s="110"/>
      <c r="J47" s="110"/>
      <c r="K47" s="110"/>
      <c r="L47" s="110"/>
    </row>
    <row r="48" spans="2:12" x14ac:dyDescent="0.15">
      <c r="C48" s="110"/>
      <c r="D48" s="110"/>
      <c r="E48" s="110"/>
      <c r="F48" s="110"/>
      <c r="G48" s="110"/>
      <c r="H48" s="110"/>
      <c r="I48" s="110"/>
      <c r="J48" s="110"/>
      <c r="K48" s="110"/>
      <c r="L48" s="110"/>
    </row>
    <row r="49" spans="3:12" x14ac:dyDescent="0.15">
      <c r="C49" s="110"/>
      <c r="D49" s="110"/>
      <c r="E49" s="110"/>
      <c r="F49" s="110"/>
      <c r="G49" s="110"/>
      <c r="H49" s="110"/>
      <c r="I49" s="110"/>
      <c r="J49" s="110"/>
      <c r="K49" s="110"/>
      <c r="L49" s="110"/>
    </row>
    <row r="50" spans="3:12" x14ac:dyDescent="0.15">
      <c r="C50" s="110"/>
      <c r="D50" s="110"/>
      <c r="E50" s="110"/>
      <c r="F50" s="110"/>
      <c r="G50" s="110"/>
      <c r="H50" s="110"/>
      <c r="I50" s="110"/>
      <c r="J50" s="110"/>
      <c r="K50" s="110"/>
      <c r="L50" s="110"/>
    </row>
    <row r="51" spans="3:12" x14ac:dyDescent="0.15">
      <c r="C51" s="110"/>
      <c r="D51" s="110"/>
      <c r="E51" s="110"/>
      <c r="F51" s="110"/>
      <c r="G51" s="110"/>
      <c r="H51" s="110"/>
      <c r="I51" s="110"/>
      <c r="J51" s="110"/>
      <c r="K51" s="110"/>
      <c r="L51" s="110"/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5"/>
  <sheetViews>
    <sheetView showGridLines="0" zoomScale="150" zoomScaleNormal="150" workbookViewId="0">
      <pane xSplit="2" ySplit="5" topLeftCell="D7" activePane="bottomRight" state="frozen"/>
      <selection pane="topRight" activeCell="C1" sqref="C1"/>
      <selection pane="bottomLeft" activeCell="A6" sqref="A6"/>
      <selection pane="bottomRight" activeCell="G11" sqref="G11"/>
    </sheetView>
  </sheetViews>
  <sheetFormatPr baseColWidth="10" defaultColWidth="8.83203125" defaultRowHeight="14" x14ac:dyDescent="0.15"/>
  <cols>
    <col min="1" max="1" width="2.5" style="15" customWidth="1"/>
    <col min="2" max="2" width="37.5" style="15" customWidth="1"/>
    <col min="3" max="4" width="9.5" style="15" customWidth="1"/>
    <col min="5" max="5" width="11" style="15" bestFit="1" customWidth="1"/>
    <col min="6" max="7" width="10.5" style="15" bestFit="1" customWidth="1"/>
    <col min="8" max="8" width="10.5" style="15" customWidth="1"/>
    <col min="9" max="9" width="10.5" style="15" bestFit="1" customWidth="1"/>
    <col min="10" max="10" width="12.5" style="15" customWidth="1"/>
    <col min="11" max="11" width="10.6640625" style="15" customWidth="1"/>
    <col min="12" max="12" width="10.5" style="15" bestFit="1" customWidth="1"/>
    <col min="13" max="255" width="9.1640625" style="15"/>
    <col min="256" max="256" width="37.5" style="15" customWidth="1"/>
    <col min="257" max="258" width="9.5" style="15" bestFit="1" customWidth="1"/>
    <col min="259" max="259" width="13.1640625" style="15" customWidth="1"/>
    <col min="260" max="265" width="9.6640625" style="15" bestFit="1" customWidth="1"/>
    <col min="266" max="266" width="9.5" style="15" bestFit="1" customWidth="1"/>
    <col min="267" max="511" width="9.1640625" style="15"/>
    <col min="512" max="512" width="37.5" style="15" customWidth="1"/>
    <col min="513" max="514" width="9.5" style="15" bestFit="1" customWidth="1"/>
    <col min="515" max="515" width="13.1640625" style="15" customWidth="1"/>
    <col min="516" max="521" width="9.6640625" style="15" bestFit="1" customWidth="1"/>
    <col min="522" max="522" width="9.5" style="15" bestFit="1" customWidth="1"/>
    <col min="523" max="767" width="9.1640625" style="15"/>
    <col min="768" max="768" width="37.5" style="15" customWidth="1"/>
    <col min="769" max="770" width="9.5" style="15" bestFit="1" customWidth="1"/>
    <col min="771" max="771" width="13.1640625" style="15" customWidth="1"/>
    <col min="772" max="777" width="9.6640625" style="15" bestFit="1" customWidth="1"/>
    <col min="778" max="778" width="9.5" style="15" bestFit="1" customWidth="1"/>
    <col min="779" max="1023" width="9.1640625" style="15"/>
    <col min="1024" max="1024" width="37.5" style="15" customWidth="1"/>
    <col min="1025" max="1026" width="9.5" style="15" bestFit="1" customWidth="1"/>
    <col min="1027" max="1027" width="13.1640625" style="15" customWidth="1"/>
    <col min="1028" max="1033" width="9.6640625" style="15" bestFit="1" customWidth="1"/>
    <col min="1034" max="1034" width="9.5" style="15" bestFit="1" customWidth="1"/>
    <col min="1035" max="1279" width="9.1640625" style="15"/>
    <col min="1280" max="1280" width="37.5" style="15" customWidth="1"/>
    <col min="1281" max="1282" width="9.5" style="15" bestFit="1" customWidth="1"/>
    <col min="1283" max="1283" width="13.1640625" style="15" customWidth="1"/>
    <col min="1284" max="1289" width="9.6640625" style="15" bestFit="1" customWidth="1"/>
    <col min="1290" max="1290" width="9.5" style="15" bestFit="1" customWidth="1"/>
    <col min="1291" max="1535" width="9.1640625" style="15"/>
    <col min="1536" max="1536" width="37.5" style="15" customWidth="1"/>
    <col min="1537" max="1538" width="9.5" style="15" bestFit="1" customWidth="1"/>
    <col min="1539" max="1539" width="13.1640625" style="15" customWidth="1"/>
    <col min="1540" max="1545" width="9.6640625" style="15" bestFit="1" customWidth="1"/>
    <col min="1546" max="1546" width="9.5" style="15" bestFit="1" customWidth="1"/>
    <col min="1547" max="1791" width="9.1640625" style="15"/>
    <col min="1792" max="1792" width="37.5" style="15" customWidth="1"/>
    <col min="1793" max="1794" width="9.5" style="15" bestFit="1" customWidth="1"/>
    <col min="1795" max="1795" width="13.1640625" style="15" customWidth="1"/>
    <col min="1796" max="1801" width="9.6640625" style="15" bestFit="1" customWidth="1"/>
    <col min="1802" max="1802" width="9.5" style="15" bestFit="1" customWidth="1"/>
    <col min="1803" max="2047" width="9.1640625" style="15"/>
    <col min="2048" max="2048" width="37.5" style="15" customWidth="1"/>
    <col min="2049" max="2050" width="9.5" style="15" bestFit="1" customWidth="1"/>
    <col min="2051" max="2051" width="13.1640625" style="15" customWidth="1"/>
    <col min="2052" max="2057" width="9.6640625" style="15" bestFit="1" customWidth="1"/>
    <col min="2058" max="2058" width="9.5" style="15" bestFit="1" customWidth="1"/>
    <col min="2059" max="2303" width="9.1640625" style="15"/>
    <col min="2304" max="2304" width="37.5" style="15" customWidth="1"/>
    <col min="2305" max="2306" width="9.5" style="15" bestFit="1" customWidth="1"/>
    <col min="2307" max="2307" width="13.1640625" style="15" customWidth="1"/>
    <col min="2308" max="2313" width="9.6640625" style="15" bestFit="1" customWidth="1"/>
    <col min="2314" max="2314" width="9.5" style="15" bestFit="1" customWidth="1"/>
    <col min="2315" max="2559" width="9.1640625" style="15"/>
    <col min="2560" max="2560" width="37.5" style="15" customWidth="1"/>
    <col min="2561" max="2562" width="9.5" style="15" bestFit="1" customWidth="1"/>
    <col min="2563" max="2563" width="13.1640625" style="15" customWidth="1"/>
    <col min="2564" max="2569" width="9.6640625" style="15" bestFit="1" customWidth="1"/>
    <col min="2570" max="2570" width="9.5" style="15" bestFit="1" customWidth="1"/>
    <col min="2571" max="2815" width="9.1640625" style="15"/>
    <col min="2816" max="2816" width="37.5" style="15" customWidth="1"/>
    <col min="2817" max="2818" width="9.5" style="15" bestFit="1" customWidth="1"/>
    <col min="2819" max="2819" width="13.1640625" style="15" customWidth="1"/>
    <col min="2820" max="2825" width="9.6640625" style="15" bestFit="1" customWidth="1"/>
    <col min="2826" max="2826" width="9.5" style="15" bestFit="1" customWidth="1"/>
    <col min="2827" max="3071" width="9.1640625" style="15"/>
    <col min="3072" max="3072" width="37.5" style="15" customWidth="1"/>
    <col min="3073" max="3074" width="9.5" style="15" bestFit="1" customWidth="1"/>
    <col min="3075" max="3075" width="13.1640625" style="15" customWidth="1"/>
    <col min="3076" max="3081" width="9.6640625" style="15" bestFit="1" customWidth="1"/>
    <col min="3082" max="3082" width="9.5" style="15" bestFit="1" customWidth="1"/>
    <col min="3083" max="3327" width="9.1640625" style="15"/>
    <col min="3328" max="3328" width="37.5" style="15" customWidth="1"/>
    <col min="3329" max="3330" width="9.5" style="15" bestFit="1" customWidth="1"/>
    <col min="3331" max="3331" width="13.1640625" style="15" customWidth="1"/>
    <col min="3332" max="3337" width="9.6640625" style="15" bestFit="1" customWidth="1"/>
    <col min="3338" max="3338" width="9.5" style="15" bestFit="1" customWidth="1"/>
    <col min="3339" max="3583" width="9.1640625" style="15"/>
    <col min="3584" max="3584" width="37.5" style="15" customWidth="1"/>
    <col min="3585" max="3586" width="9.5" style="15" bestFit="1" customWidth="1"/>
    <col min="3587" max="3587" width="13.1640625" style="15" customWidth="1"/>
    <col min="3588" max="3593" width="9.6640625" style="15" bestFit="1" customWidth="1"/>
    <col min="3594" max="3594" width="9.5" style="15" bestFit="1" customWidth="1"/>
    <col min="3595" max="3839" width="9.1640625" style="15"/>
    <col min="3840" max="3840" width="37.5" style="15" customWidth="1"/>
    <col min="3841" max="3842" width="9.5" style="15" bestFit="1" customWidth="1"/>
    <col min="3843" max="3843" width="13.1640625" style="15" customWidth="1"/>
    <col min="3844" max="3849" width="9.6640625" style="15" bestFit="1" customWidth="1"/>
    <col min="3850" max="3850" width="9.5" style="15" bestFit="1" customWidth="1"/>
    <col min="3851" max="4095" width="9.1640625" style="15"/>
    <col min="4096" max="4096" width="37.5" style="15" customWidth="1"/>
    <col min="4097" max="4098" width="9.5" style="15" bestFit="1" customWidth="1"/>
    <col min="4099" max="4099" width="13.1640625" style="15" customWidth="1"/>
    <col min="4100" max="4105" width="9.6640625" style="15" bestFit="1" customWidth="1"/>
    <col min="4106" max="4106" width="9.5" style="15" bestFit="1" customWidth="1"/>
    <col min="4107" max="4351" width="9.1640625" style="15"/>
    <col min="4352" max="4352" width="37.5" style="15" customWidth="1"/>
    <col min="4353" max="4354" width="9.5" style="15" bestFit="1" customWidth="1"/>
    <col min="4355" max="4355" width="13.1640625" style="15" customWidth="1"/>
    <col min="4356" max="4361" width="9.6640625" style="15" bestFit="1" customWidth="1"/>
    <col min="4362" max="4362" width="9.5" style="15" bestFit="1" customWidth="1"/>
    <col min="4363" max="4607" width="9.1640625" style="15"/>
    <col min="4608" max="4608" width="37.5" style="15" customWidth="1"/>
    <col min="4609" max="4610" width="9.5" style="15" bestFit="1" customWidth="1"/>
    <col min="4611" max="4611" width="13.1640625" style="15" customWidth="1"/>
    <col min="4612" max="4617" width="9.6640625" style="15" bestFit="1" customWidth="1"/>
    <col min="4618" max="4618" width="9.5" style="15" bestFit="1" customWidth="1"/>
    <col min="4619" max="4863" width="9.1640625" style="15"/>
    <col min="4864" max="4864" width="37.5" style="15" customWidth="1"/>
    <col min="4865" max="4866" width="9.5" style="15" bestFit="1" customWidth="1"/>
    <col min="4867" max="4867" width="13.1640625" style="15" customWidth="1"/>
    <col min="4868" max="4873" width="9.6640625" style="15" bestFit="1" customWidth="1"/>
    <col min="4874" max="4874" width="9.5" style="15" bestFit="1" customWidth="1"/>
    <col min="4875" max="5119" width="9.1640625" style="15"/>
    <col min="5120" max="5120" width="37.5" style="15" customWidth="1"/>
    <col min="5121" max="5122" width="9.5" style="15" bestFit="1" customWidth="1"/>
    <col min="5123" max="5123" width="13.1640625" style="15" customWidth="1"/>
    <col min="5124" max="5129" width="9.6640625" style="15" bestFit="1" customWidth="1"/>
    <col min="5130" max="5130" width="9.5" style="15" bestFit="1" customWidth="1"/>
    <col min="5131" max="5375" width="9.1640625" style="15"/>
    <col min="5376" max="5376" width="37.5" style="15" customWidth="1"/>
    <col min="5377" max="5378" width="9.5" style="15" bestFit="1" customWidth="1"/>
    <col min="5379" max="5379" width="13.1640625" style="15" customWidth="1"/>
    <col min="5380" max="5385" width="9.6640625" style="15" bestFit="1" customWidth="1"/>
    <col min="5386" max="5386" width="9.5" style="15" bestFit="1" customWidth="1"/>
    <col min="5387" max="5631" width="9.1640625" style="15"/>
    <col min="5632" max="5632" width="37.5" style="15" customWidth="1"/>
    <col min="5633" max="5634" width="9.5" style="15" bestFit="1" customWidth="1"/>
    <col min="5635" max="5635" width="13.1640625" style="15" customWidth="1"/>
    <col min="5636" max="5641" width="9.6640625" style="15" bestFit="1" customWidth="1"/>
    <col min="5642" max="5642" width="9.5" style="15" bestFit="1" customWidth="1"/>
    <col min="5643" max="5887" width="9.1640625" style="15"/>
    <col min="5888" max="5888" width="37.5" style="15" customWidth="1"/>
    <col min="5889" max="5890" width="9.5" style="15" bestFit="1" customWidth="1"/>
    <col min="5891" max="5891" width="13.1640625" style="15" customWidth="1"/>
    <col min="5892" max="5897" width="9.6640625" style="15" bestFit="1" customWidth="1"/>
    <col min="5898" max="5898" width="9.5" style="15" bestFit="1" customWidth="1"/>
    <col min="5899" max="6143" width="9.1640625" style="15"/>
    <col min="6144" max="6144" width="37.5" style="15" customWidth="1"/>
    <col min="6145" max="6146" width="9.5" style="15" bestFit="1" customWidth="1"/>
    <col min="6147" max="6147" width="13.1640625" style="15" customWidth="1"/>
    <col min="6148" max="6153" width="9.6640625" style="15" bestFit="1" customWidth="1"/>
    <col min="6154" max="6154" width="9.5" style="15" bestFit="1" customWidth="1"/>
    <col min="6155" max="6399" width="9.1640625" style="15"/>
    <col min="6400" max="6400" width="37.5" style="15" customWidth="1"/>
    <col min="6401" max="6402" width="9.5" style="15" bestFit="1" customWidth="1"/>
    <col min="6403" max="6403" width="13.1640625" style="15" customWidth="1"/>
    <col min="6404" max="6409" width="9.6640625" style="15" bestFit="1" customWidth="1"/>
    <col min="6410" max="6410" width="9.5" style="15" bestFit="1" customWidth="1"/>
    <col min="6411" max="6655" width="9.1640625" style="15"/>
    <col min="6656" max="6656" width="37.5" style="15" customWidth="1"/>
    <col min="6657" max="6658" width="9.5" style="15" bestFit="1" customWidth="1"/>
    <col min="6659" max="6659" width="13.1640625" style="15" customWidth="1"/>
    <col min="6660" max="6665" width="9.6640625" style="15" bestFit="1" customWidth="1"/>
    <col min="6666" max="6666" width="9.5" style="15" bestFit="1" customWidth="1"/>
    <col min="6667" max="6911" width="9.1640625" style="15"/>
    <col min="6912" max="6912" width="37.5" style="15" customWidth="1"/>
    <col min="6913" max="6914" width="9.5" style="15" bestFit="1" customWidth="1"/>
    <col min="6915" max="6915" width="13.1640625" style="15" customWidth="1"/>
    <col min="6916" max="6921" width="9.6640625" style="15" bestFit="1" customWidth="1"/>
    <col min="6922" max="6922" width="9.5" style="15" bestFit="1" customWidth="1"/>
    <col min="6923" max="7167" width="9.1640625" style="15"/>
    <col min="7168" max="7168" width="37.5" style="15" customWidth="1"/>
    <col min="7169" max="7170" width="9.5" style="15" bestFit="1" customWidth="1"/>
    <col min="7171" max="7171" width="13.1640625" style="15" customWidth="1"/>
    <col min="7172" max="7177" width="9.6640625" style="15" bestFit="1" customWidth="1"/>
    <col min="7178" max="7178" width="9.5" style="15" bestFit="1" customWidth="1"/>
    <col min="7179" max="7423" width="9.1640625" style="15"/>
    <col min="7424" max="7424" width="37.5" style="15" customWidth="1"/>
    <col min="7425" max="7426" width="9.5" style="15" bestFit="1" customWidth="1"/>
    <col min="7427" max="7427" width="13.1640625" style="15" customWidth="1"/>
    <col min="7428" max="7433" width="9.6640625" style="15" bestFit="1" customWidth="1"/>
    <col min="7434" max="7434" width="9.5" style="15" bestFit="1" customWidth="1"/>
    <col min="7435" max="7679" width="9.1640625" style="15"/>
    <col min="7680" max="7680" width="37.5" style="15" customWidth="1"/>
    <col min="7681" max="7682" width="9.5" style="15" bestFit="1" customWidth="1"/>
    <col min="7683" max="7683" width="13.1640625" style="15" customWidth="1"/>
    <col min="7684" max="7689" width="9.6640625" style="15" bestFit="1" customWidth="1"/>
    <col min="7690" max="7690" width="9.5" style="15" bestFit="1" customWidth="1"/>
    <col min="7691" max="7935" width="9.1640625" style="15"/>
    <col min="7936" max="7936" width="37.5" style="15" customWidth="1"/>
    <col min="7937" max="7938" width="9.5" style="15" bestFit="1" customWidth="1"/>
    <col min="7939" max="7939" width="13.1640625" style="15" customWidth="1"/>
    <col min="7940" max="7945" width="9.6640625" style="15" bestFit="1" customWidth="1"/>
    <col min="7946" max="7946" width="9.5" style="15" bestFit="1" customWidth="1"/>
    <col min="7947" max="8191" width="9.1640625" style="15"/>
    <col min="8192" max="8192" width="37.5" style="15" customWidth="1"/>
    <col min="8193" max="8194" width="9.5" style="15" bestFit="1" customWidth="1"/>
    <col min="8195" max="8195" width="13.1640625" style="15" customWidth="1"/>
    <col min="8196" max="8201" width="9.6640625" style="15" bestFit="1" customWidth="1"/>
    <col min="8202" max="8202" width="9.5" style="15" bestFit="1" customWidth="1"/>
    <col min="8203" max="8447" width="9.1640625" style="15"/>
    <col min="8448" max="8448" width="37.5" style="15" customWidth="1"/>
    <col min="8449" max="8450" width="9.5" style="15" bestFit="1" customWidth="1"/>
    <col min="8451" max="8451" width="13.1640625" style="15" customWidth="1"/>
    <col min="8452" max="8457" width="9.6640625" style="15" bestFit="1" customWidth="1"/>
    <col min="8458" max="8458" width="9.5" style="15" bestFit="1" customWidth="1"/>
    <col min="8459" max="8703" width="9.1640625" style="15"/>
    <col min="8704" max="8704" width="37.5" style="15" customWidth="1"/>
    <col min="8705" max="8706" width="9.5" style="15" bestFit="1" customWidth="1"/>
    <col min="8707" max="8707" width="13.1640625" style="15" customWidth="1"/>
    <col min="8708" max="8713" width="9.6640625" style="15" bestFit="1" customWidth="1"/>
    <col min="8714" max="8714" width="9.5" style="15" bestFit="1" customWidth="1"/>
    <col min="8715" max="8959" width="9.1640625" style="15"/>
    <col min="8960" max="8960" width="37.5" style="15" customWidth="1"/>
    <col min="8961" max="8962" width="9.5" style="15" bestFit="1" customWidth="1"/>
    <col min="8963" max="8963" width="13.1640625" style="15" customWidth="1"/>
    <col min="8964" max="8969" width="9.6640625" style="15" bestFit="1" customWidth="1"/>
    <col min="8970" max="8970" width="9.5" style="15" bestFit="1" customWidth="1"/>
    <col min="8971" max="9215" width="9.1640625" style="15"/>
    <col min="9216" max="9216" width="37.5" style="15" customWidth="1"/>
    <col min="9217" max="9218" width="9.5" style="15" bestFit="1" customWidth="1"/>
    <col min="9219" max="9219" width="13.1640625" style="15" customWidth="1"/>
    <col min="9220" max="9225" width="9.6640625" style="15" bestFit="1" customWidth="1"/>
    <col min="9226" max="9226" width="9.5" style="15" bestFit="1" customWidth="1"/>
    <col min="9227" max="9471" width="9.1640625" style="15"/>
    <col min="9472" max="9472" width="37.5" style="15" customWidth="1"/>
    <col min="9473" max="9474" width="9.5" style="15" bestFit="1" customWidth="1"/>
    <col min="9475" max="9475" width="13.1640625" style="15" customWidth="1"/>
    <col min="9476" max="9481" width="9.6640625" style="15" bestFit="1" customWidth="1"/>
    <col min="9482" max="9482" width="9.5" style="15" bestFit="1" customWidth="1"/>
    <col min="9483" max="9727" width="9.1640625" style="15"/>
    <col min="9728" max="9728" width="37.5" style="15" customWidth="1"/>
    <col min="9729" max="9730" width="9.5" style="15" bestFit="1" customWidth="1"/>
    <col min="9731" max="9731" width="13.1640625" style="15" customWidth="1"/>
    <col min="9732" max="9737" width="9.6640625" style="15" bestFit="1" customWidth="1"/>
    <col min="9738" max="9738" width="9.5" style="15" bestFit="1" customWidth="1"/>
    <col min="9739" max="9983" width="9.1640625" style="15"/>
    <col min="9984" max="9984" width="37.5" style="15" customWidth="1"/>
    <col min="9985" max="9986" width="9.5" style="15" bestFit="1" customWidth="1"/>
    <col min="9987" max="9987" width="13.1640625" style="15" customWidth="1"/>
    <col min="9988" max="9993" width="9.6640625" style="15" bestFit="1" customWidth="1"/>
    <col min="9994" max="9994" width="9.5" style="15" bestFit="1" customWidth="1"/>
    <col min="9995" max="10239" width="9.1640625" style="15"/>
    <col min="10240" max="10240" width="37.5" style="15" customWidth="1"/>
    <col min="10241" max="10242" width="9.5" style="15" bestFit="1" customWidth="1"/>
    <col min="10243" max="10243" width="13.1640625" style="15" customWidth="1"/>
    <col min="10244" max="10249" width="9.6640625" style="15" bestFit="1" customWidth="1"/>
    <col min="10250" max="10250" width="9.5" style="15" bestFit="1" customWidth="1"/>
    <col min="10251" max="10495" width="9.1640625" style="15"/>
    <col min="10496" max="10496" width="37.5" style="15" customWidth="1"/>
    <col min="10497" max="10498" width="9.5" style="15" bestFit="1" customWidth="1"/>
    <col min="10499" max="10499" width="13.1640625" style="15" customWidth="1"/>
    <col min="10500" max="10505" width="9.6640625" style="15" bestFit="1" customWidth="1"/>
    <col min="10506" max="10506" width="9.5" style="15" bestFit="1" customWidth="1"/>
    <col min="10507" max="10751" width="9.1640625" style="15"/>
    <col min="10752" max="10752" width="37.5" style="15" customWidth="1"/>
    <col min="10753" max="10754" width="9.5" style="15" bestFit="1" customWidth="1"/>
    <col min="10755" max="10755" width="13.1640625" style="15" customWidth="1"/>
    <col min="10756" max="10761" width="9.6640625" style="15" bestFit="1" customWidth="1"/>
    <col min="10762" max="10762" width="9.5" style="15" bestFit="1" customWidth="1"/>
    <col min="10763" max="11007" width="9.1640625" style="15"/>
    <col min="11008" max="11008" width="37.5" style="15" customWidth="1"/>
    <col min="11009" max="11010" width="9.5" style="15" bestFit="1" customWidth="1"/>
    <col min="11011" max="11011" width="13.1640625" style="15" customWidth="1"/>
    <col min="11012" max="11017" width="9.6640625" style="15" bestFit="1" customWidth="1"/>
    <col min="11018" max="11018" width="9.5" style="15" bestFit="1" customWidth="1"/>
    <col min="11019" max="11263" width="9.1640625" style="15"/>
    <col min="11264" max="11264" width="37.5" style="15" customWidth="1"/>
    <col min="11265" max="11266" width="9.5" style="15" bestFit="1" customWidth="1"/>
    <col min="11267" max="11267" width="13.1640625" style="15" customWidth="1"/>
    <col min="11268" max="11273" width="9.6640625" style="15" bestFit="1" customWidth="1"/>
    <col min="11274" max="11274" width="9.5" style="15" bestFit="1" customWidth="1"/>
    <col min="11275" max="11519" width="9.1640625" style="15"/>
    <col min="11520" max="11520" width="37.5" style="15" customWidth="1"/>
    <col min="11521" max="11522" width="9.5" style="15" bestFit="1" customWidth="1"/>
    <col min="11523" max="11523" width="13.1640625" style="15" customWidth="1"/>
    <col min="11524" max="11529" width="9.6640625" style="15" bestFit="1" customWidth="1"/>
    <col min="11530" max="11530" width="9.5" style="15" bestFit="1" customWidth="1"/>
    <col min="11531" max="11775" width="9.1640625" style="15"/>
    <col min="11776" max="11776" width="37.5" style="15" customWidth="1"/>
    <col min="11777" max="11778" width="9.5" style="15" bestFit="1" customWidth="1"/>
    <col min="11779" max="11779" width="13.1640625" style="15" customWidth="1"/>
    <col min="11780" max="11785" width="9.6640625" style="15" bestFit="1" customWidth="1"/>
    <col min="11786" max="11786" width="9.5" style="15" bestFit="1" customWidth="1"/>
    <col min="11787" max="12031" width="9.1640625" style="15"/>
    <col min="12032" max="12032" width="37.5" style="15" customWidth="1"/>
    <col min="12033" max="12034" width="9.5" style="15" bestFit="1" customWidth="1"/>
    <col min="12035" max="12035" width="13.1640625" style="15" customWidth="1"/>
    <col min="12036" max="12041" width="9.6640625" style="15" bestFit="1" customWidth="1"/>
    <col min="12042" max="12042" width="9.5" style="15" bestFit="1" customWidth="1"/>
    <col min="12043" max="12287" width="9.1640625" style="15"/>
    <col min="12288" max="12288" width="37.5" style="15" customWidth="1"/>
    <col min="12289" max="12290" width="9.5" style="15" bestFit="1" customWidth="1"/>
    <col min="12291" max="12291" width="13.1640625" style="15" customWidth="1"/>
    <col min="12292" max="12297" width="9.6640625" style="15" bestFit="1" customWidth="1"/>
    <col min="12298" max="12298" width="9.5" style="15" bestFit="1" customWidth="1"/>
    <col min="12299" max="12543" width="9.1640625" style="15"/>
    <col min="12544" max="12544" width="37.5" style="15" customWidth="1"/>
    <col min="12545" max="12546" width="9.5" style="15" bestFit="1" customWidth="1"/>
    <col min="12547" max="12547" width="13.1640625" style="15" customWidth="1"/>
    <col min="12548" max="12553" width="9.6640625" style="15" bestFit="1" customWidth="1"/>
    <col min="12554" max="12554" width="9.5" style="15" bestFit="1" customWidth="1"/>
    <col min="12555" max="12799" width="9.1640625" style="15"/>
    <col min="12800" max="12800" width="37.5" style="15" customWidth="1"/>
    <col min="12801" max="12802" width="9.5" style="15" bestFit="1" customWidth="1"/>
    <col min="12803" max="12803" width="13.1640625" style="15" customWidth="1"/>
    <col min="12804" max="12809" width="9.6640625" style="15" bestFit="1" customWidth="1"/>
    <col min="12810" max="12810" width="9.5" style="15" bestFit="1" customWidth="1"/>
    <col min="12811" max="13055" width="9.1640625" style="15"/>
    <col min="13056" max="13056" width="37.5" style="15" customWidth="1"/>
    <col min="13057" max="13058" width="9.5" style="15" bestFit="1" customWidth="1"/>
    <col min="13059" max="13059" width="13.1640625" style="15" customWidth="1"/>
    <col min="13060" max="13065" width="9.6640625" style="15" bestFit="1" customWidth="1"/>
    <col min="13066" max="13066" width="9.5" style="15" bestFit="1" customWidth="1"/>
    <col min="13067" max="13311" width="9.1640625" style="15"/>
    <col min="13312" max="13312" width="37.5" style="15" customWidth="1"/>
    <col min="13313" max="13314" width="9.5" style="15" bestFit="1" customWidth="1"/>
    <col min="13315" max="13315" width="13.1640625" style="15" customWidth="1"/>
    <col min="13316" max="13321" width="9.6640625" style="15" bestFit="1" customWidth="1"/>
    <col min="13322" max="13322" width="9.5" style="15" bestFit="1" customWidth="1"/>
    <col min="13323" max="13567" width="9.1640625" style="15"/>
    <col min="13568" max="13568" width="37.5" style="15" customWidth="1"/>
    <col min="13569" max="13570" width="9.5" style="15" bestFit="1" customWidth="1"/>
    <col min="13571" max="13571" width="13.1640625" style="15" customWidth="1"/>
    <col min="13572" max="13577" width="9.6640625" style="15" bestFit="1" customWidth="1"/>
    <col min="13578" max="13578" width="9.5" style="15" bestFit="1" customWidth="1"/>
    <col min="13579" max="13823" width="9.1640625" style="15"/>
    <col min="13824" max="13824" width="37.5" style="15" customWidth="1"/>
    <col min="13825" max="13826" width="9.5" style="15" bestFit="1" customWidth="1"/>
    <col min="13827" max="13827" width="13.1640625" style="15" customWidth="1"/>
    <col min="13828" max="13833" width="9.6640625" style="15" bestFit="1" customWidth="1"/>
    <col min="13834" max="13834" width="9.5" style="15" bestFit="1" customWidth="1"/>
    <col min="13835" max="14079" width="9.1640625" style="15"/>
    <col min="14080" max="14080" width="37.5" style="15" customWidth="1"/>
    <col min="14081" max="14082" width="9.5" style="15" bestFit="1" customWidth="1"/>
    <col min="14083" max="14083" width="13.1640625" style="15" customWidth="1"/>
    <col min="14084" max="14089" width="9.6640625" style="15" bestFit="1" customWidth="1"/>
    <col min="14090" max="14090" width="9.5" style="15" bestFit="1" customWidth="1"/>
    <col min="14091" max="14335" width="9.1640625" style="15"/>
    <col min="14336" max="14336" width="37.5" style="15" customWidth="1"/>
    <col min="14337" max="14338" width="9.5" style="15" bestFit="1" customWidth="1"/>
    <col min="14339" max="14339" width="13.1640625" style="15" customWidth="1"/>
    <col min="14340" max="14345" width="9.6640625" style="15" bestFit="1" customWidth="1"/>
    <col min="14346" max="14346" width="9.5" style="15" bestFit="1" customWidth="1"/>
    <col min="14347" max="14591" width="9.1640625" style="15"/>
    <col min="14592" max="14592" width="37.5" style="15" customWidth="1"/>
    <col min="14593" max="14594" width="9.5" style="15" bestFit="1" customWidth="1"/>
    <col min="14595" max="14595" width="13.1640625" style="15" customWidth="1"/>
    <col min="14596" max="14601" width="9.6640625" style="15" bestFit="1" customWidth="1"/>
    <col min="14602" max="14602" width="9.5" style="15" bestFit="1" customWidth="1"/>
    <col min="14603" max="14847" width="9.1640625" style="15"/>
    <col min="14848" max="14848" width="37.5" style="15" customWidth="1"/>
    <col min="14849" max="14850" width="9.5" style="15" bestFit="1" customWidth="1"/>
    <col min="14851" max="14851" width="13.1640625" style="15" customWidth="1"/>
    <col min="14852" max="14857" width="9.6640625" style="15" bestFit="1" customWidth="1"/>
    <col min="14858" max="14858" width="9.5" style="15" bestFit="1" customWidth="1"/>
    <col min="14859" max="15103" width="9.1640625" style="15"/>
    <col min="15104" max="15104" width="37.5" style="15" customWidth="1"/>
    <col min="15105" max="15106" width="9.5" style="15" bestFit="1" customWidth="1"/>
    <col min="15107" max="15107" width="13.1640625" style="15" customWidth="1"/>
    <col min="15108" max="15113" width="9.6640625" style="15" bestFit="1" customWidth="1"/>
    <col min="15114" max="15114" width="9.5" style="15" bestFit="1" customWidth="1"/>
    <col min="15115" max="15359" width="9.1640625" style="15"/>
    <col min="15360" max="15360" width="37.5" style="15" customWidth="1"/>
    <col min="15361" max="15362" width="9.5" style="15" bestFit="1" customWidth="1"/>
    <col min="15363" max="15363" width="13.1640625" style="15" customWidth="1"/>
    <col min="15364" max="15369" width="9.6640625" style="15" bestFit="1" customWidth="1"/>
    <col min="15370" max="15370" width="9.5" style="15" bestFit="1" customWidth="1"/>
    <col min="15371" max="15615" width="9.1640625" style="15"/>
    <col min="15616" max="15616" width="37.5" style="15" customWidth="1"/>
    <col min="15617" max="15618" width="9.5" style="15" bestFit="1" customWidth="1"/>
    <col min="15619" max="15619" width="13.1640625" style="15" customWidth="1"/>
    <col min="15620" max="15625" width="9.6640625" style="15" bestFit="1" customWidth="1"/>
    <col min="15626" max="15626" width="9.5" style="15" bestFit="1" customWidth="1"/>
    <col min="15627" max="15871" width="9.1640625" style="15"/>
    <col min="15872" max="15872" width="37.5" style="15" customWidth="1"/>
    <col min="15873" max="15874" width="9.5" style="15" bestFit="1" customWidth="1"/>
    <col min="15875" max="15875" width="13.1640625" style="15" customWidth="1"/>
    <col min="15876" max="15881" width="9.6640625" style="15" bestFit="1" customWidth="1"/>
    <col min="15882" max="15882" width="9.5" style="15" bestFit="1" customWidth="1"/>
    <col min="15883" max="16127" width="9.1640625" style="15"/>
    <col min="16128" max="16128" width="37.5" style="15" customWidth="1"/>
    <col min="16129" max="16130" width="9.5" style="15" bestFit="1" customWidth="1"/>
    <col min="16131" max="16131" width="13.1640625" style="15" customWidth="1"/>
    <col min="16132" max="16137" width="9.6640625" style="15" bestFit="1" customWidth="1"/>
    <col min="16138" max="16138" width="9.5" style="15" bestFit="1" customWidth="1"/>
    <col min="16139" max="16384" width="9.1640625" style="15"/>
  </cols>
  <sheetData>
    <row r="1" spans="1:12" s="246" customFormat="1" ht="23" x14ac:dyDescent="0.25">
      <c r="A1" s="232" t="str">
        <f>IS!A1</f>
        <v>Colgate-Palmolive Company</v>
      </c>
      <c r="D1" s="281"/>
      <c r="H1" s="256"/>
    </row>
    <row r="2" spans="1:12" s="243" customFormat="1" x14ac:dyDescent="0.15"/>
    <row r="3" spans="1:12" s="243" customFormat="1" ht="20" x14ac:dyDescent="0.2">
      <c r="A3" s="257" t="s">
        <v>187</v>
      </c>
    </row>
    <row r="5" spans="1:12" s="41" customFormat="1" ht="15" thickBot="1" x14ac:dyDescent="0.2">
      <c r="B5" s="43"/>
      <c r="C5" s="42">
        <f>BS!C5</f>
        <v>42735</v>
      </c>
      <c r="D5" s="42">
        <f>BS!D5</f>
        <v>43100</v>
      </c>
      <c r="E5" s="42">
        <f>BS!E5</f>
        <v>43465</v>
      </c>
      <c r="F5" s="42">
        <f>BS!F5</f>
        <v>43830</v>
      </c>
      <c r="G5" s="42">
        <f>BS!G5</f>
        <v>44196</v>
      </c>
      <c r="H5" s="42">
        <f>BS!H5</f>
        <v>44561</v>
      </c>
      <c r="I5" s="42">
        <f>BS!I5</f>
        <v>44926</v>
      </c>
      <c r="J5" s="42">
        <f>BS!J5</f>
        <v>45291</v>
      </c>
      <c r="K5" s="42">
        <f>BS!K5</f>
        <v>45657</v>
      </c>
      <c r="L5" s="42">
        <f>BS!L5</f>
        <v>46022</v>
      </c>
    </row>
    <row r="6" spans="1:12" x14ac:dyDescent="0.15">
      <c r="B6" s="15" t="s">
        <v>92</v>
      </c>
      <c r="C6" s="85">
        <f>IS!C6</f>
        <v>15195</v>
      </c>
      <c r="D6" s="85">
        <f>IS!D6</f>
        <v>15454</v>
      </c>
      <c r="E6" s="85">
        <f>IS!E6</f>
        <v>15544</v>
      </c>
      <c r="F6" s="85">
        <f>IS!F6</f>
        <v>15693</v>
      </c>
      <c r="G6" s="85">
        <f>IS!G6</f>
        <v>16471</v>
      </c>
      <c r="H6" s="85">
        <f>IS!H6</f>
        <v>17222.39</v>
      </c>
      <c r="I6" s="85">
        <f>IS!I6</f>
        <v>18035.8243</v>
      </c>
      <c r="J6" s="85">
        <f>IS!J6</f>
        <v>18916.991657000002</v>
      </c>
      <c r="K6" s="85">
        <f>IS!K6</f>
        <v>19872.116844070002</v>
      </c>
      <c r="L6" s="85">
        <f>IS!L6</f>
        <v>20908.011637772906</v>
      </c>
    </row>
    <row r="7" spans="1:12" x14ac:dyDescent="0.15">
      <c r="B7" s="15" t="s">
        <v>107</v>
      </c>
      <c r="C7" s="86"/>
      <c r="D7" s="86"/>
      <c r="E7" s="262">
        <f>CF!E25</f>
        <v>-436</v>
      </c>
      <c r="F7" s="262">
        <f>CF!F25</f>
        <v>-335</v>
      </c>
      <c r="G7" s="262">
        <f>CF!G25</f>
        <v>-410</v>
      </c>
      <c r="H7" s="267">
        <f>H8*H6</f>
        <v>516.67169999999999</v>
      </c>
      <c r="I7" s="267">
        <f t="shared" ref="I7:L7" si="0">I8*I6</f>
        <v>541.07472899999993</v>
      </c>
      <c r="J7" s="267">
        <f t="shared" si="0"/>
        <v>567.50974971000005</v>
      </c>
      <c r="K7" s="267">
        <f t="shared" si="0"/>
        <v>596.16350532210004</v>
      </c>
      <c r="L7" s="267">
        <f t="shared" si="0"/>
        <v>627.24034913318712</v>
      </c>
    </row>
    <row r="8" spans="1:12" x14ac:dyDescent="0.15">
      <c r="B8" s="53" t="s">
        <v>108</v>
      </c>
      <c r="C8" s="54"/>
      <c r="D8" s="54"/>
      <c r="E8" s="54">
        <f>ABS(E7/E6)</f>
        <v>2.8049408131755018E-2</v>
      </c>
      <c r="F8" s="54">
        <f t="shared" ref="F8:G8" si="1">ABS(F7/F6)</f>
        <v>2.1347097431976041E-2</v>
      </c>
      <c r="G8" s="54">
        <f t="shared" si="1"/>
        <v>2.4892234836986219E-2</v>
      </c>
      <c r="H8" s="55">
        <v>0.03</v>
      </c>
      <c r="I8" s="55">
        <v>0.03</v>
      </c>
      <c r="J8" s="55">
        <v>0.03</v>
      </c>
      <c r="K8" s="55">
        <v>0.03</v>
      </c>
      <c r="L8" s="55">
        <v>0.03</v>
      </c>
    </row>
    <row r="10" spans="1:12" x14ac:dyDescent="0.15">
      <c r="B10" s="15" t="s">
        <v>109</v>
      </c>
      <c r="C10" s="122"/>
      <c r="D10" s="122"/>
      <c r="E10" s="122"/>
      <c r="F10" s="122"/>
      <c r="G10" s="122"/>
      <c r="H10" s="107">
        <f>G13</f>
        <v>3716</v>
      </c>
      <c r="I10" s="107">
        <f>H13</f>
        <v>3713.0640115879614</v>
      </c>
      <c r="J10" s="107">
        <f t="shared" ref="J10:L10" si="2">I13</f>
        <v>3704.0286274661826</v>
      </c>
      <c r="K10" s="107">
        <f t="shared" si="2"/>
        <v>3689.4598133282625</v>
      </c>
      <c r="L10" s="107">
        <f t="shared" si="2"/>
        <v>3669.9876990892762</v>
      </c>
    </row>
    <row r="11" spans="1:12" x14ac:dyDescent="0.15">
      <c r="B11" s="15" t="s">
        <v>107</v>
      </c>
      <c r="C11" s="122"/>
      <c r="D11" s="123"/>
      <c r="E11" s="123"/>
      <c r="F11" s="123"/>
      <c r="G11" s="123"/>
      <c r="H11" s="56">
        <f>H7</f>
        <v>516.67169999999999</v>
      </c>
      <c r="I11" s="56">
        <f>I7</f>
        <v>541.07472899999993</v>
      </c>
      <c r="J11" s="56">
        <f t="shared" ref="J11:L11" si="3">J7</f>
        <v>567.50974971000005</v>
      </c>
      <c r="K11" s="56">
        <f t="shared" si="3"/>
        <v>596.16350532210004</v>
      </c>
      <c r="L11" s="56">
        <f t="shared" si="3"/>
        <v>627.24034913318712</v>
      </c>
    </row>
    <row r="12" spans="1:12" x14ac:dyDescent="0.15">
      <c r="B12" s="15" t="s">
        <v>110</v>
      </c>
      <c r="C12" s="122"/>
      <c r="D12" s="124"/>
      <c r="E12" s="124"/>
      <c r="F12" s="124"/>
      <c r="G12" s="124"/>
      <c r="H12" s="57">
        <f>-H75</f>
        <v>-519.60768841203867</v>
      </c>
      <c r="I12" s="57">
        <f t="shared" ref="I12:L12" si="4">-I75</f>
        <v>-550.11011312177891</v>
      </c>
      <c r="J12" s="57">
        <f t="shared" si="4"/>
        <v>-582.07856384792035</v>
      </c>
      <c r="K12" s="57">
        <f t="shared" si="4"/>
        <v>-615.63561956108606</v>
      </c>
      <c r="L12" s="57">
        <f t="shared" si="4"/>
        <v>-650.91513735195019</v>
      </c>
    </row>
    <row r="13" spans="1:12" ht="15" thickBot="1" x14ac:dyDescent="0.2">
      <c r="B13" s="158" t="s">
        <v>111</v>
      </c>
      <c r="C13" s="167">
        <f>BS!C14</f>
        <v>3840</v>
      </c>
      <c r="D13" s="167">
        <f>BS!D14</f>
        <v>4072</v>
      </c>
      <c r="E13" s="167">
        <f>BS!E14</f>
        <v>3881</v>
      </c>
      <c r="F13" s="167">
        <f>BS!F14</f>
        <v>3750</v>
      </c>
      <c r="G13" s="167">
        <f>BS!G14</f>
        <v>3716</v>
      </c>
      <c r="H13" s="268">
        <f>SUM(H10:H12)</f>
        <v>3713.0640115879614</v>
      </c>
      <c r="I13" s="268">
        <f t="shared" ref="I13:L13" si="5">SUM(I10:I12)</f>
        <v>3704.0286274661826</v>
      </c>
      <c r="J13" s="268">
        <f t="shared" si="5"/>
        <v>3689.4598133282625</v>
      </c>
      <c r="K13" s="268">
        <f t="shared" si="5"/>
        <v>3669.9876990892762</v>
      </c>
      <c r="L13" s="268">
        <f t="shared" si="5"/>
        <v>3646.312910870513</v>
      </c>
    </row>
    <row r="16" spans="1:12" ht="15" thickBot="1" x14ac:dyDescent="0.2">
      <c r="B16" s="58" t="s">
        <v>276</v>
      </c>
      <c r="C16" s="59"/>
      <c r="D16" s="59"/>
      <c r="E16" s="59"/>
      <c r="F16" s="42">
        <f>F5</f>
        <v>43830</v>
      </c>
      <c r="G16" s="42">
        <f>G5</f>
        <v>44196</v>
      </c>
      <c r="H16" s="59" t="s">
        <v>112</v>
      </c>
      <c r="I16" s="59"/>
      <c r="J16" s="15" t="s">
        <v>113</v>
      </c>
    </row>
    <row r="17" spans="2:19" x14ac:dyDescent="0.15">
      <c r="B17" s="60" t="s">
        <v>114</v>
      </c>
      <c r="F17" s="168">
        <v>153</v>
      </c>
      <c r="G17" s="61">
        <v>166</v>
      </c>
      <c r="H17" s="62" t="s">
        <v>115</v>
      </c>
      <c r="J17" s="63">
        <f>G17/$G$21</f>
        <v>1.8969260655925038E-2</v>
      </c>
    </row>
    <row r="18" spans="2:19" x14ac:dyDescent="0.15">
      <c r="B18" s="60" t="s">
        <v>116</v>
      </c>
      <c r="F18" s="168">
        <v>1600</v>
      </c>
      <c r="G18" s="61">
        <v>1623</v>
      </c>
      <c r="H18" s="269">
        <v>40</v>
      </c>
      <c r="J18" s="63">
        <f t="shared" ref="J18:J20" si="6">G18/$G$21</f>
        <v>0.18546451834076105</v>
      </c>
    </row>
    <row r="19" spans="2:19" x14ac:dyDescent="0.15">
      <c r="B19" s="60" t="s">
        <v>117</v>
      </c>
      <c r="F19" s="168">
        <v>5309</v>
      </c>
      <c r="G19" s="61">
        <v>5409</v>
      </c>
      <c r="H19" s="269">
        <v>15</v>
      </c>
      <c r="J19" s="63">
        <f t="shared" si="6"/>
        <v>0.61810078848131644</v>
      </c>
    </row>
    <row r="20" spans="2:19" x14ac:dyDescent="0.15">
      <c r="B20" s="60" t="s">
        <v>185</v>
      </c>
      <c r="F20" s="168">
        <v>1518</v>
      </c>
      <c r="G20" s="61">
        <v>1553</v>
      </c>
      <c r="H20" s="269">
        <v>15</v>
      </c>
      <c r="J20" s="63">
        <f t="shared" si="6"/>
        <v>0.17746543252199748</v>
      </c>
    </row>
    <row r="21" spans="2:19" ht="15" thickBot="1" x14ac:dyDescent="0.2">
      <c r="B21" s="64" t="s">
        <v>118</v>
      </c>
      <c r="C21" s="67"/>
      <c r="D21" s="67"/>
      <c r="E21" s="67"/>
      <c r="F21" s="65">
        <f>SUM(F17:F20)</f>
        <v>8580</v>
      </c>
      <c r="G21" s="65">
        <f>SUM(G17:G20)</f>
        <v>8751</v>
      </c>
      <c r="H21" s="66"/>
      <c r="I21" s="67"/>
      <c r="J21" s="68"/>
    </row>
    <row r="22" spans="2:19" ht="15" thickTop="1" x14ac:dyDescent="0.15"/>
    <row r="23" spans="2:19" x14ac:dyDescent="0.15">
      <c r="B23" s="69"/>
      <c r="C23" s="59"/>
      <c r="D23" s="59"/>
      <c r="E23" s="59"/>
      <c r="F23" s="70"/>
      <c r="G23" s="70"/>
      <c r="H23" s="70"/>
      <c r="I23" s="70"/>
      <c r="J23" s="70"/>
      <c r="K23" s="70"/>
      <c r="L23" s="70"/>
      <c r="S23" s="165"/>
    </row>
    <row r="24" spans="2:19" x14ac:dyDescent="0.15">
      <c r="B24" s="71" t="s">
        <v>119</v>
      </c>
      <c r="C24" s="71"/>
      <c r="D24" s="71"/>
      <c r="E24" s="71"/>
      <c r="F24" s="72"/>
      <c r="G24" s="72"/>
      <c r="H24" s="72"/>
      <c r="I24" s="72"/>
      <c r="J24" s="72"/>
      <c r="K24" s="72"/>
      <c r="L24" s="72"/>
      <c r="S24" s="40"/>
    </row>
    <row r="25" spans="2:19" ht="15" thickBot="1" x14ac:dyDescent="0.2">
      <c r="B25" s="15" t="s">
        <v>120</v>
      </c>
    </row>
    <row r="26" spans="2:19" x14ac:dyDescent="0.15">
      <c r="B26" s="144" t="str">
        <f>B17</f>
        <v xml:space="preserve">Land </v>
      </c>
      <c r="C26" s="145"/>
      <c r="D26" s="145"/>
      <c r="E26" s="145"/>
      <c r="F26" s="146"/>
      <c r="G26" s="297"/>
      <c r="H26" s="297">
        <f>$J17*H$7</f>
        <v>9.8008801508399035</v>
      </c>
      <c r="I26" s="297">
        <f t="shared" ref="I26:L26" si="7">$J17*I$7</f>
        <v>10.263787568735001</v>
      </c>
      <c r="J26" s="297">
        <f t="shared" si="7"/>
        <v>10.76524036702777</v>
      </c>
      <c r="K26" s="297">
        <f t="shared" si="7"/>
        <v>11.30878092600487</v>
      </c>
      <c r="L26" s="300">
        <f t="shared" si="7"/>
        <v>11.898285676620851</v>
      </c>
    </row>
    <row r="27" spans="2:19" x14ac:dyDescent="0.15">
      <c r="B27" s="147" t="str">
        <f>B18</f>
        <v>Building Improvements</v>
      </c>
      <c r="F27" s="73"/>
      <c r="G27" s="298"/>
      <c r="H27" s="298">
        <f t="shared" ref="H27:L27" si="8">$J18*H$7</f>
        <v>95.82426798080219</v>
      </c>
      <c r="I27" s="298">
        <f t="shared" si="8"/>
        <v>100.3501640003428</v>
      </c>
      <c r="J27" s="298">
        <f t="shared" si="8"/>
        <v>105.25292238365103</v>
      </c>
      <c r="K27" s="298">
        <f t="shared" si="8"/>
        <v>110.56717736690302</v>
      </c>
      <c r="L27" s="301">
        <f t="shared" si="8"/>
        <v>116.33082923587735</v>
      </c>
    </row>
    <row r="28" spans="2:19" x14ac:dyDescent="0.15">
      <c r="B28" s="147" t="str">
        <f>B19</f>
        <v>Machinery and equipment</v>
      </c>
      <c r="F28" s="73"/>
      <c r="G28" s="298"/>
      <c r="H28" s="298">
        <f t="shared" ref="H28:L28" si="9">$J19*H$7</f>
        <v>319.35518515598216</v>
      </c>
      <c r="I28" s="298">
        <f t="shared" si="9"/>
        <v>334.4387166222146</v>
      </c>
      <c r="J28" s="298">
        <f t="shared" si="9"/>
        <v>350.7782237665856</v>
      </c>
      <c r="K28" s="298">
        <f t="shared" si="9"/>
        <v>368.4891327033755</v>
      </c>
      <c r="L28" s="301">
        <f t="shared" si="9"/>
        <v>387.69775436651918</v>
      </c>
    </row>
    <row r="29" spans="2:19" ht="15" thickBot="1" x14ac:dyDescent="0.2">
      <c r="B29" s="148" t="str">
        <f>B20</f>
        <v>Other Equipment</v>
      </c>
      <c r="C29" s="130"/>
      <c r="D29" s="130"/>
      <c r="E29" s="130"/>
      <c r="F29" s="149"/>
      <c r="G29" s="299"/>
      <c r="H29" s="299">
        <f t="shared" ref="H29:L29" si="10">$J20*H$7</f>
        <v>91.691366712375725</v>
      </c>
      <c r="I29" s="299">
        <f t="shared" si="10"/>
        <v>96.022060808707565</v>
      </c>
      <c r="J29" s="299">
        <f t="shared" si="10"/>
        <v>100.7133631927357</v>
      </c>
      <c r="K29" s="299">
        <f t="shared" si="10"/>
        <v>105.79841432581662</v>
      </c>
      <c r="L29" s="302">
        <f t="shared" si="10"/>
        <v>111.31347985416976</v>
      </c>
    </row>
    <row r="32" spans="2:19" x14ac:dyDescent="0.15">
      <c r="B32" s="143" t="s">
        <v>121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</row>
    <row r="33" spans="2:12" x14ac:dyDescent="0.15">
      <c r="B33" s="60" t="s">
        <v>122</v>
      </c>
      <c r="C33" s="74">
        <f>H18</f>
        <v>40</v>
      </c>
      <c r="D33" s="15" t="s">
        <v>123</v>
      </c>
    </row>
    <row r="34" spans="2:12" x14ac:dyDescent="0.15">
      <c r="B34" s="60" t="s">
        <v>124</v>
      </c>
      <c r="C34" s="74">
        <f>G18</f>
        <v>1623</v>
      </c>
      <c r="F34" s="107"/>
      <c r="H34" s="40">
        <f>$C$34/$C33</f>
        <v>40.575000000000003</v>
      </c>
      <c r="I34" s="40">
        <f t="shared" ref="I34:L34" si="11">$C$34/$C33</f>
        <v>40.575000000000003</v>
      </c>
      <c r="J34" s="40">
        <f t="shared" si="11"/>
        <v>40.575000000000003</v>
      </c>
      <c r="K34" s="40">
        <f t="shared" si="11"/>
        <v>40.575000000000003</v>
      </c>
      <c r="L34" s="40">
        <f t="shared" si="11"/>
        <v>40.575000000000003</v>
      </c>
    </row>
    <row r="35" spans="2:12" x14ac:dyDescent="0.15">
      <c r="B35" s="60" t="s">
        <v>125</v>
      </c>
      <c r="C35" s="74"/>
      <c r="F35" s="75"/>
      <c r="G35" s="75"/>
      <c r="H35" s="75"/>
      <c r="I35" s="75"/>
      <c r="J35" s="75"/>
      <c r="K35" s="75"/>
      <c r="L35" s="75"/>
    </row>
    <row r="36" spans="2:12" x14ac:dyDescent="0.15">
      <c r="B36" s="60"/>
      <c r="C36" s="74"/>
    </row>
    <row r="37" spans="2:12" x14ac:dyDescent="0.15">
      <c r="C37" s="87" t="s">
        <v>126</v>
      </c>
      <c r="D37" s="76" t="s">
        <v>122</v>
      </c>
      <c r="E37" s="76"/>
      <c r="I37" s="57"/>
      <c r="J37" s="92"/>
      <c r="K37" s="92"/>
      <c r="L37" s="92"/>
    </row>
    <row r="38" spans="2:12" x14ac:dyDescent="0.15">
      <c r="B38" s="15">
        <v>2021</v>
      </c>
      <c r="C38" s="77" cm="1">
        <f t="array" ref="C38:C42">TRANSPOSE(H27:L27)</f>
        <v>95.82426798080219</v>
      </c>
      <c r="D38" s="74">
        <f>$C$33</f>
        <v>40</v>
      </c>
      <c r="E38" s="15" t="s">
        <v>123</v>
      </c>
      <c r="F38" s="57"/>
      <c r="G38" s="57"/>
      <c r="H38" s="57">
        <f>$C38/$D38/2</f>
        <v>1.1978033497600273</v>
      </c>
      <c r="I38" s="57">
        <f>$C38/$D38</f>
        <v>2.3956066995200547</v>
      </c>
      <c r="J38" s="57">
        <f t="shared" ref="J38:L40" si="12">$C38/$D38</f>
        <v>2.3956066995200547</v>
      </c>
      <c r="K38" s="57">
        <f t="shared" si="12"/>
        <v>2.3956066995200547</v>
      </c>
      <c r="L38" s="57">
        <f t="shared" si="12"/>
        <v>2.3956066995200547</v>
      </c>
    </row>
    <row r="39" spans="2:12" x14ac:dyDescent="0.15">
      <c r="B39" s="15">
        <f t="shared" ref="B39:B42" si="13">B38+1</f>
        <v>2022</v>
      </c>
      <c r="C39" s="78">
        <v>100.3501640003428</v>
      </c>
      <c r="D39" s="74">
        <f t="shared" ref="D39:D42" si="14">$C$33</f>
        <v>40</v>
      </c>
      <c r="F39" s="57"/>
      <c r="G39" s="57"/>
      <c r="H39" s="57"/>
      <c r="I39" s="57">
        <f>$C39/$D39/2</f>
        <v>1.254377050004285</v>
      </c>
      <c r="J39" s="57">
        <f>$C39/$D39</f>
        <v>2.50875410000857</v>
      </c>
      <c r="K39" s="57">
        <f t="shared" si="12"/>
        <v>2.50875410000857</v>
      </c>
      <c r="L39" s="57">
        <f t="shared" si="12"/>
        <v>2.50875410000857</v>
      </c>
    </row>
    <row r="40" spans="2:12" x14ac:dyDescent="0.15">
      <c r="B40" s="15">
        <f t="shared" si="13"/>
        <v>2023</v>
      </c>
      <c r="C40" s="79">
        <v>105.25292238365103</v>
      </c>
      <c r="D40" s="74">
        <f t="shared" si="14"/>
        <v>40</v>
      </c>
      <c r="F40" s="57"/>
      <c r="G40" s="57"/>
      <c r="H40" s="57"/>
      <c r="I40" s="57"/>
      <c r="J40" s="57">
        <f>$C40/$D40/2</f>
        <v>1.3156615297956378</v>
      </c>
      <c r="K40" s="57">
        <f>$C40/$D40</f>
        <v>2.6313230595912755</v>
      </c>
      <c r="L40" s="57">
        <f t="shared" si="12"/>
        <v>2.6313230595912755</v>
      </c>
    </row>
    <row r="41" spans="2:12" x14ac:dyDescent="0.15">
      <c r="B41" s="15">
        <f t="shared" si="13"/>
        <v>2024</v>
      </c>
      <c r="C41" s="79">
        <v>110.56717736690302</v>
      </c>
      <c r="D41" s="74">
        <f t="shared" si="14"/>
        <v>40</v>
      </c>
      <c r="F41" s="57"/>
      <c r="G41" s="57"/>
      <c r="H41" s="57"/>
      <c r="I41" s="57"/>
      <c r="J41" s="57"/>
      <c r="K41" s="57">
        <f>$C41/$D41/2</f>
        <v>1.3820897170862878</v>
      </c>
      <c r="L41" s="57">
        <f>$C41/$D41</f>
        <v>2.7641794341725756</v>
      </c>
    </row>
    <row r="42" spans="2:12" x14ac:dyDescent="0.15">
      <c r="B42" s="15">
        <f t="shared" si="13"/>
        <v>2025</v>
      </c>
      <c r="C42" s="79">
        <v>116.33082923587735</v>
      </c>
      <c r="D42" s="74">
        <f t="shared" si="14"/>
        <v>40</v>
      </c>
      <c r="F42" s="57"/>
      <c r="G42" s="57"/>
      <c r="H42" s="57"/>
      <c r="I42" s="57"/>
      <c r="J42" s="57"/>
      <c r="K42" s="57"/>
      <c r="L42" s="57">
        <f>$C42/$D42/2</f>
        <v>1.4541353654484668</v>
      </c>
    </row>
    <row r="44" spans="2:12" ht="15" thickBot="1" x14ac:dyDescent="0.2">
      <c r="B44" s="80" t="s">
        <v>127</v>
      </c>
      <c r="C44" s="80"/>
      <c r="D44" s="80"/>
      <c r="E44" s="80"/>
      <c r="F44" s="81"/>
      <c r="G44" s="81"/>
      <c r="H44" s="81">
        <f>SUM(H34:H43)</f>
        <v>41.772803349760032</v>
      </c>
      <c r="I44" s="81">
        <f t="shared" ref="I44:L44" si="15">SUM(I34:I43)</f>
        <v>44.224983749524341</v>
      </c>
      <c r="J44" s="81">
        <f t="shared" si="15"/>
        <v>46.795022329324262</v>
      </c>
      <c r="K44" s="81">
        <f t="shared" si="15"/>
        <v>49.492773576206183</v>
      </c>
      <c r="L44" s="81">
        <f t="shared" si="15"/>
        <v>52.328998658740936</v>
      </c>
    </row>
    <row r="45" spans="2:12" ht="15" thickTop="1" x14ac:dyDescent="0.15"/>
    <row r="46" spans="2:12" x14ac:dyDescent="0.15">
      <c r="B46" s="143" t="s">
        <v>128</v>
      </c>
      <c r="C46" s="143"/>
      <c r="D46" s="143"/>
      <c r="E46" s="143"/>
      <c r="F46" s="143"/>
      <c r="G46" s="143"/>
      <c r="H46" s="143"/>
      <c r="I46" s="143"/>
      <c r="J46" s="143"/>
      <c r="K46" s="143"/>
      <c r="L46" s="143"/>
    </row>
    <row r="47" spans="2:12" x14ac:dyDescent="0.15">
      <c r="B47" s="60" t="s">
        <v>122</v>
      </c>
      <c r="C47" s="74">
        <f>H19</f>
        <v>15</v>
      </c>
      <c r="D47" s="15" t="s">
        <v>123</v>
      </c>
    </row>
    <row r="48" spans="2:12" x14ac:dyDescent="0.15">
      <c r="B48" s="60" t="s">
        <v>128</v>
      </c>
      <c r="C48" s="74">
        <f>G19</f>
        <v>5409</v>
      </c>
      <c r="H48" s="15">
        <f>$C$48/$C47</f>
        <v>360.6</v>
      </c>
      <c r="I48" s="15">
        <f t="shared" ref="I48:L48" si="16">$C$48/$C47</f>
        <v>360.6</v>
      </c>
      <c r="J48" s="15">
        <f t="shared" si="16"/>
        <v>360.6</v>
      </c>
      <c r="K48" s="15">
        <f t="shared" si="16"/>
        <v>360.6</v>
      </c>
      <c r="L48" s="15">
        <f t="shared" si="16"/>
        <v>360.6</v>
      </c>
    </row>
    <row r="49" spans="2:12" x14ac:dyDescent="0.15">
      <c r="B49" s="60" t="s">
        <v>125</v>
      </c>
      <c r="C49" s="74"/>
      <c r="F49" s="75"/>
      <c r="G49" s="75"/>
      <c r="H49" s="40"/>
      <c r="I49" s="40"/>
      <c r="J49" s="40"/>
      <c r="K49" s="40"/>
      <c r="L49" s="40"/>
    </row>
    <row r="50" spans="2:12" x14ac:dyDescent="0.15">
      <c r="H50" s="75"/>
      <c r="I50" s="75"/>
      <c r="J50" s="75"/>
      <c r="K50" s="75"/>
      <c r="L50" s="75"/>
    </row>
    <row r="51" spans="2:12" x14ac:dyDescent="0.15">
      <c r="C51" s="16" t="s">
        <v>126</v>
      </c>
      <c r="D51" s="76" t="s">
        <v>122</v>
      </c>
      <c r="E51" s="76"/>
    </row>
    <row r="52" spans="2:12" x14ac:dyDescent="0.15">
      <c r="B52" s="15">
        <v>2021</v>
      </c>
      <c r="C52" s="77" cm="1">
        <f t="array" ref="C52:C56">TRANSPOSE(H28:L28)</f>
        <v>319.35518515598216</v>
      </c>
      <c r="D52" s="74">
        <f>$C$47</f>
        <v>15</v>
      </c>
      <c r="E52" s="15" t="s">
        <v>123</v>
      </c>
      <c r="F52" s="57"/>
      <c r="G52" s="57"/>
      <c r="H52" s="57">
        <f>$C$52/$D52/2</f>
        <v>10.645172838532739</v>
      </c>
      <c r="I52" s="57">
        <f>$C$52/$D52</f>
        <v>21.290345677065478</v>
      </c>
      <c r="J52" s="57">
        <f t="shared" ref="J52:L52" si="17">$C$52/$D52</f>
        <v>21.290345677065478</v>
      </c>
      <c r="K52" s="57">
        <f t="shared" si="17"/>
        <v>21.290345677065478</v>
      </c>
      <c r="L52" s="57">
        <f t="shared" si="17"/>
        <v>21.290345677065478</v>
      </c>
    </row>
    <row r="53" spans="2:12" x14ac:dyDescent="0.15">
      <c r="B53" s="15">
        <f t="shared" ref="B53:B56" si="18">B52+1</f>
        <v>2022</v>
      </c>
      <c r="C53" s="78">
        <v>334.4387166222146</v>
      </c>
      <c r="D53" s="74">
        <f t="shared" ref="D53:D56" si="19">$C$47</f>
        <v>15</v>
      </c>
      <c r="F53" s="57"/>
      <c r="G53" s="57"/>
      <c r="H53" s="57"/>
      <c r="I53" s="57">
        <f>$C$53/$D53/2</f>
        <v>11.147957220740487</v>
      </c>
      <c r="J53" s="57">
        <f>$C$53/$D53</f>
        <v>22.295914441480974</v>
      </c>
      <c r="K53" s="57">
        <f t="shared" ref="K53:L53" si="20">$C$53/$D53</f>
        <v>22.295914441480974</v>
      </c>
      <c r="L53" s="57">
        <f t="shared" si="20"/>
        <v>22.295914441480974</v>
      </c>
    </row>
    <row r="54" spans="2:12" x14ac:dyDescent="0.15">
      <c r="B54" s="15">
        <f t="shared" si="18"/>
        <v>2023</v>
      </c>
      <c r="C54" s="79">
        <v>350.7782237665856</v>
      </c>
      <c r="D54" s="74">
        <f t="shared" si="19"/>
        <v>15</v>
      </c>
      <c r="F54" s="57"/>
      <c r="G54" s="57"/>
      <c r="H54" s="57"/>
      <c r="I54" s="57"/>
      <c r="J54" s="57">
        <f>$C$54/$D54/2</f>
        <v>11.692607458886187</v>
      </c>
      <c r="K54" s="57">
        <f>$C$54/$D54</f>
        <v>23.385214917772373</v>
      </c>
      <c r="L54" s="57">
        <f t="shared" ref="L54" si="21">$C$54/$D54</f>
        <v>23.385214917772373</v>
      </c>
    </row>
    <row r="55" spans="2:12" x14ac:dyDescent="0.15">
      <c r="B55" s="15">
        <f t="shared" si="18"/>
        <v>2024</v>
      </c>
      <c r="C55" s="79">
        <v>368.4891327033755</v>
      </c>
      <c r="D55" s="74">
        <f t="shared" si="19"/>
        <v>15</v>
      </c>
      <c r="F55" s="57"/>
      <c r="G55" s="57"/>
      <c r="H55" s="57"/>
      <c r="I55" s="57"/>
      <c r="J55" s="57"/>
      <c r="K55" s="57">
        <f>$C$55/$D55/2</f>
        <v>12.282971090112516</v>
      </c>
      <c r="L55" s="57">
        <f>$C$55/$D55</f>
        <v>24.565942180225033</v>
      </c>
    </row>
    <row r="56" spans="2:12" x14ac:dyDescent="0.15">
      <c r="B56" s="15">
        <f t="shared" si="18"/>
        <v>2025</v>
      </c>
      <c r="C56" s="79">
        <v>387.69775436651918</v>
      </c>
      <c r="D56" s="74">
        <f t="shared" si="19"/>
        <v>15</v>
      </c>
      <c r="F56" s="57"/>
      <c r="G56" s="57"/>
      <c r="H56" s="57"/>
      <c r="I56" s="57"/>
      <c r="J56" s="57"/>
      <c r="K56" s="57"/>
      <c r="L56" s="57">
        <f>$C$56/$D56/2</f>
        <v>12.923258478883973</v>
      </c>
    </row>
    <row r="57" spans="2:12" x14ac:dyDescent="0.15">
      <c r="C57" s="79"/>
      <c r="D57" s="74"/>
      <c r="F57" s="57"/>
      <c r="G57" s="57"/>
    </row>
    <row r="58" spans="2:12" ht="15" thickBot="1" x14ac:dyDescent="0.2">
      <c r="B58" s="80" t="s">
        <v>129</v>
      </c>
      <c r="C58" s="80"/>
      <c r="D58" s="80"/>
      <c r="E58" s="80"/>
      <c r="F58" s="81"/>
      <c r="G58" s="81"/>
      <c r="H58" s="81">
        <f>SUM(H48:H57)</f>
        <v>371.24517283853277</v>
      </c>
      <c r="I58" s="81">
        <f t="shared" ref="I58:L58" si="22">SUM(I48:I57)</f>
        <v>393.03830289780598</v>
      </c>
      <c r="J58" s="81">
        <f t="shared" si="22"/>
        <v>415.87886757743269</v>
      </c>
      <c r="K58" s="81">
        <f t="shared" si="22"/>
        <v>439.85444612643141</v>
      </c>
      <c r="L58" s="81">
        <f t="shared" si="22"/>
        <v>465.06067569542785</v>
      </c>
    </row>
    <row r="59" spans="2:12" ht="15" thickTop="1" x14ac:dyDescent="0.15">
      <c r="C59" s="57"/>
      <c r="D59" s="57"/>
      <c r="E59" s="57"/>
      <c r="F59" s="57"/>
      <c r="G59" s="57"/>
      <c r="H59" s="57"/>
      <c r="I59" s="57"/>
      <c r="J59" s="57"/>
      <c r="K59" s="57"/>
      <c r="L59" s="57"/>
    </row>
    <row r="60" spans="2:12" x14ac:dyDescent="0.15">
      <c r="B60" s="143" t="s">
        <v>185</v>
      </c>
      <c r="C60" s="143"/>
      <c r="D60" s="143"/>
      <c r="E60" s="143"/>
      <c r="F60" s="143"/>
      <c r="G60" s="143"/>
      <c r="H60" s="143"/>
      <c r="I60" s="143"/>
      <c r="J60" s="143"/>
      <c r="K60" s="143"/>
      <c r="L60" s="143"/>
    </row>
    <row r="61" spans="2:12" x14ac:dyDescent="0.15">
      <c r="B61" s="60" t="s">
        <v>122</v>
      </c>
      <c r="C61" s="74">
        <f>H20</f>
        <v>15</v>
      </c>
      <c r="D61" s="15" t="s">
        <v>123</v>
      </c>
    </row>
    <row r="62" spans="2:12" x14ac:dyDescent="0.15">
      <c r="B62" s="60" t="s">
        <v>185</v>
      </c>
      <c r="C62" s="74">
        <f>G20</f>
        <v>1553</v>
      </c>
      <c r="H62" s="74">
        <f>$C$62/$C61</f>
        <v>103.53333333333333</v>
      </c>
      <c r="I62" s="74">
        <f t="shared" ref="I62:L62" si="23">$C$62/$C61</f>
        <v>103.53333333333333</v>
      </c>
      <c r="J62" s="74">
        <f t="shared" si="23"/>
        <v>103.53333333333333</v>
      </c>
      <c r="K62" s="74">
        <f t="shared" si="23"/>
        <v>103.53333333333333</v>
      </c>
      <c r="L62" s="74">
        <f t="shared" si="23"/>
        <v>103.53333333333333</v>
      </c>
    </row>
    <row r="63" spans="2:12" x14ac:dyDescent="0.15">
      <c r="B63" s="60" t="s">
        <v>125</v>
      </c>
      <c r="C63" s="74"/>
      <c r="F63" s="75"/>
      <c r="G63" s="75"/>
      <c r="H63" s="75"/>
      <c r="I63" s="75"/>
      <c r="J63" s="75"/>
      <c r="K63" s="75"/>
      <c r="L63" s="75"/>
    </row>
    <row r="65" spans="2:12" x14ac:dyDescent="0.15">
      <c r="C65" s="16" t="s">
        <v>126</v>
      </c>
      <c r="D65" s="76" t="s">
        <v>122</v>
      </c>
      <c r="E65" s="76"/>
    </row>
    <row r="66" spans="2:12" x14ac:dyDescent="0.15">
      <c r="B66" s="15">
        <v>2014</v>
      </c>
      <c r="C66" s="77" cm="1">
        <f t="array" ref="C66:C70">TRANSPOSE(H29:L29)</f>
        <v>91.691366712375725</v>
      </c>
      <c r="D66" s="74">
        <f>$C$61</f>
        <v>15</v>
      </c>
      <c r="E66" s="15" t="s">
        <v>123</v>
      </c>
      <c r="F66" s="57"/>
      <c r="G66" s="57"/>
      <c r="H66" s="57">
        <f>$C$66/$D66/2</f>
        <v>3.0563788904125242</v>
      </c>
      <c r="I66" s="57">
        <f>$C$66/$D66</f>
        <v>6.1127577808250484</v>
      </c>
      <c r="J66" s="57">
        <f t="shared" ref="J66:K66" si="24">$C$66/$D66</f>
        <v>6.1127577808250484</v>
      </c>
      <c r="K66" s="57">
        <f t="shared" si="24"/>
        <v>6.1127577808250484</v>
      </c>
      <c r="L66" s="57">
        <f t="shared" ref="L66" si="25">$C$66/$D66</f>
        <v>6.1127577808250484</v>
      </c>
    </row>
    <row r="67" spans="2:12" x14ac:dyDescent="0.15">
      <c r="B67" s="15">
        <f t="shared" ref="B67:B70" si="26">B66+1</f>
        <v>2015</v>
      </c>
      <c r="C67" s="78">
        <v>96.022060808707565</v>
      </c>
      <c r="D67" s="74">
        <f t="shared" ref="D67:D70" si="27">$C$61</f>
        <v>15</v>
      </c>
      <c r="F67" s="57"/>
      <c r="G67" s="57"/>
      <c r="H67" s="57"/>
      <c r="I67" s="57">
        <f>$C$67/$D67/2</f>
        <v>3.2007353602902522</v>
      </c>
      <c r="J67" s="57">
        <f>$C$67/$D67</f>
        <v>6.4014707205805044</v>
      </c>
      <c r="K67" s="57">
        <f t="shared" ref="K67:L67" si="28">$C$67/$D67</f>
        <v>6.4014707205805044</v>
      </c>
      <c r="L67" s="57">
        <f t="shared" si="28"/>
        <v>6.4014707205805044</v>
      </c>
    </row>
    <row r="68" spans="2:12" x14ac:dyDescent="0.15">
      <c r="B68" s="15">
        <f t="shared" si="26"/>
        <v>2016</v>
      </c>
      <c r="C68" s="79">
        <v>100.7133631927357</v>
      </c>
      <c r="D68" s="74">
        <f t="shared" si="27"/>
        <v>15</v>
      </c>
      <c r="F68" s="57"/>
      <c r="G68" s="57"/>
      <c r="H68" s="57"/>
      <c r="I68" s="57"/>
      <c r="J68" s="57">
        <f>$C$68/$D68/2</f>
        <v>3.3571121064245233</v>
      </c>
      <c r="K68" s="57">
        <f>$C$68/$D68</f>
        <v>6.7142242128490466</v>
      </c>
      <c r="L68" s="57">
        <f t="shared" ref="L68" si="29">$C$68/$D68</f>
        <v>6.7142242128490466</v>
      </c>
    </row>
    <row r="69" spans="2:12" x14ac:dyDescent="0.15">
      <c r="B69" s="15">
        <f t="shared" si="26"/>
        <v>2017</v>
      </c>
      <c r="C69" s="79">
        <v>105.79841432581662</v>
      </c>
      <c r="D69" s="74">
        <f t="shared" si="27"/>
        <v>15</v>
      </c>
      <c r="F69" s="57"/>
      <c r="G69" s="57"/>
      <c r="H69" s="57"/>
      <c r="I69" s="57"/>
      <c r="J69" s="57"/>
      <c r="K69" s="57">
        <f>$C$69/$D69/2</f>
        <v>3.526613810860554</v>
      </c>
      <c r="L69" s="57">
        <f>$C$69/$D69</f>
        <v>7.0532276217211081</v>
      </c>
    </row>
    <row r="70" spans="2:12" x14ac:dyDescent="0.15">
      <c r="B70" s="15">
        <f t="shared" si="26"/>
        <v>2018</v>
      </c>
      <c r="C70" s="79">
        <v>111.31347985416976</v>
      </c>
      <c r="D70" s="74">
        <f t="shared" si="27"/>
        <v>15</v>
      </c>
      <c r="F70" s="57"/>
      <c r="G70" s="57"/>
      <c r="H70" s="57"/>
      <c r="I70" s="57"/>
      <c r="J70" s="57"/>
      <c r="K70" s="57"/>
      <c r="L70" s="57">
        <f>$C$70/$D70/2</f>
        <v>3.710449328472325</v>
      </c>
    </row>
    <row r="71" spans="2:12" x14ac:dyDescent="0.15">
      <c r="C71" s="79"/>
      <c r="D71" s="74"/>
      <c r="F71" s="57"/>
      <c r="G71" s="57"/>
    </row>
    <row r="72" spans="2:12" ht="15" thickBot="1" x14ac:dyDescent="0.2">
      <c r="B72" s="80" t="s">
        <v>205</v>
      </c>
      <c r="C72" s="80"/>
      <c r="D72" s="80"/>
      <c r="E72" s="80"/>
      <c r="F72" s="81"/>
      <c r="G72" s="81"/>
      <c r="H72" s="81">
        <f>SUM(H62:H71)</f>
        <v>106.58971222374585</v>
      </c>
      <c r="I72" s="81">
        <f t="shared" ref="I72:L72" si="30">SUM(I62:I71)</f>
        <v>112.84682647444863</v>
      </c>
      <c r="J72" s="81">
        <f t="shared" si="30"/>
        <v>119.40467394116341</v>
      </c>
      <c r="K72" s="81">
        <f t="shared" si="30"/>
        <v>126.28839985844849</v>
      </c>
      <c r="L72" s="81">
        <f t="shared" si="30"/>
        <v>133.52546299778137</v>
      </c>
    </row>
    <row r="73" spans="2:12" ht="15" thickTop="1" x14ac:dyDescent="0.15"/>
    <row r="74" spans="2:12" ht="15" thickBot="1" x14ac:dyDescent="0.2"/>
    <row r="75" spans="2:12" ht="15" thickBot="1" x14ac:dyDescent="0.2">
      <c r="B75" s="82" t="s">
        <v>130</v>
      </c>
      <c r="C75" s="83"/>
      <c r="D75" s="83"/>
      <c r="E75" s="83"/>
      <c r="F75" s="84"/>
      <c r="G75" s="84"/>
      <c r="H75" s="84">
        <f>H72+H58+H44</f>
        <v>519.60768841203867</v>
      </c>
      <c r="I75" s="84">
        <f t="shared" ref="I75:L75" si="31">I72+I58+I44</f>
        <v>550.11011312177891</v>
      </c>
      <c r="J75" s="84">
        <f t="shared" si="31"/>
        <v>582.07856384792035</v>
      </c>
      <c r="K75" s="84">
        <f t="shared" si="31"/>
        <v>615.63561956108606</v>
      </c>
      <c r="L75" s="84">
        <f t="shared" si="31"/>
        <v>650.91513735195019</v>
      </c>
    </row>
    <row r="82" spans="5:5" x14ac:dyDescent="0.15">
      <c r="E82" s="57"/>
    </row>
    <row r="83" spans="5:5" x14ac:dyDescent="0.15">
      <c r="E83" s="57"/>
    </row>
    <row r="84" spans="5:5" x14ac:dyDescent="0.15">
      <c r="E84" s="57"/>
    </row>
    <row r="85" spans="5:5" x14ac:dyDescent="0.15">
      <c r="E85" s="5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showGridLines="0" zoomScale="150" zoomScaleNormal="15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27" sqref="L27"/>
    </sheetView>
  </sheetViews>
  <sheetFormatPr baseColWidth="10" defaultColWidth="8.83203125" defaultRowHeight="14" x14ac:dyDescent="0.15"/>
  <cols>
    <col min="1" max="1" width="2.33203125" style="15" customWidth="1"/>
    <col min="2" max="2" width="37.5" style="15" customWidth="1"/>
    <col min="3" max="3" width="9.6640625" style="15" bestFit="1" customWidth="1"/>
    <col min="4" max="8" width="9.1640625" style="15"/>
    <col min="9" max="10" width="9.5" style="15" bestFit="1" customWidth="1"/>
    <col min="11" max="255" width="9.1640625" style="15"/>
    <col min="256" max="256" width="37.5" style="15" customWidth="1"/>
    <col min="257" max="511" width="9.1640625" style="15"/>
    <col min="512" max="512" width="37.5" style="15" customWidth="1"/>
    <col min="513" max="767" width="9.1640625" style="15"/>
    <col min="768" max="768" width="37.5" style="15" customWidth="1"/>
    <col min="769" max="1023" width="9.1640625" style="15"/>
    <col min="1024" max="1024" width="37.5" style="15" customWidth="1"/>
    <col min="1025" max="1279" width="9.1640625" style="15"/>
    <col min="1280" max="1280" width="37.5" style="15" customWidth="1"/>
    <col min="1281" max="1535" width="9.1640625" style="15"/>
    <col min="1536" max="1536" width="37.5" style="15" customWidth="1"/>
    <col min="1537" max="1791" width="9.1640625" style="15"/>
    <col min="1792" max="1792" width="37.5" style="15" customWidth="1"/>
    <col min="1793" max="2047" width="9.1640625" style="15"/>
    <col min="2048" max="2048" width="37.5" style="15" customWidth="1"/>
    <col min="2049" max="2303" width="9.1640625" style="15"/>
    <col min="2304" max="2304" width="37.5" style="15" customWidth="1"/>
    <col min="2305" max="2559" width="9.1640625" style="15"/>
    <col min="2560" max="2560" width="37.5" style="15" customWidth="1"/>
    <col min="2561" max="2815" width="9.1640625" style="15"/>
    <col min="2816" max="2816" width="37.5" style="15" customWidth="1"/>
    <col min="2817" max="3071" width="9.1640625" style="15"/>
    <col min="3072" max="3072" width="37.5" style="15" customWidth="1"/>
    <col min="3073" max="3327" width="9.1640625" style="15"/>
    <col min="3328" max="3328" width="37.5" style="15" customWidth="1"/>
    <col min="3329" max="3583" width="9.1640625" style="15"/>
    <col min="3584" max="3584" width="37.5" style="15" customWidth="1"/>
    <col min="3585" max="3839" width="9.1640625" style="15"/>
    <col min="3840" max="3840" width="37.5" style="15" customWidth="1"/>
    <col min="3841" max="4095" width="9.1640625" style="15"/>
    <col min="4096" max="4096" width="37.5" style="15" customWidth="1"/>
    <col min="4097" max="4351" width="9.1640625" style="15"/>
    <col min="4352" max="4352" width="37.5" style="15" customWidth="1"/>
    <col min="4353" max="4607" width="9.1640625" style="15"/>
    <col min="4608" max="4608" width="37.5" style="15" customWidth="1"/>
    <col min="4609" max="4863" width="9.1640625" style="15"/>
    <col min="4864" max="4864" width="37.5" style="15" customWidth="1"/>
    <col min="4865" max="5119" width="9.1640625" style="15"/>
    <col min="5120" max="5120" width="37.5" style="15" customWidth="1"/>
    <col min="5121" max="5375" width="9.1640625" style="15"/>
    <col min="5376" max="5376" width="37.5" style="15" customWidth="1"/>
    <col min="5377" max="5631" width="9.1640625" style="15"/>
    <col min="5632" max="5632" width="37.5" style="15" customWidth="1"/>
    <col min="5633" max="5887" width="9.1640625" style="15"/>
    <col min="5888" max="5888" width="37.5" style="15" customWidth="1"/>
    <col min="5889" max="6143" width="9.1640625" style="15"/>
    <col min="6144" max="6144" width="37.5" style="15" customWidth="1"/>
    <col min="6145" max="6399" width="9.1640625" style="15"/>
    <col min="6400" max="6400" width="37.5" style="15" customWidth="1"/>
    <col min="6401" max="6655" width="9.1640625" style="15"/>
    <col min="6656" max="6656" width="37.5" style="15" customWidth="1"/>
    <col min="6657" max="6911" width="9.1640625" style="15"/>
    <col min="6912" max="6912" width="37.5" style="15" customWidth="1"/>
    <col min="6913" max="7167" width="9.1640625" style="15"/>
    <col min="7168" max="7168" width="37.5" style="15" customWidth="1"/>
    <col min="7169" max="7423" width="9.1640625" style="15"/>
    <col min="7424" max="7424" width="37.5" style="15" customWidth="1"/>
    <col min="7425" max="7679" width="9.1640625" style="15"/>
    <col min="7680" max="7680" width="37.5" style="15" customWidth="1"/>
    <col min="7681" max="7935" width="9.1640625" style="15"/>
    <col min="7936" max="7936" width="37.5" style="15" customWidth="1"/>
    <col min="7937" max="8191" width="9.1640625" style="15"/>
    <col min="8192" max="8192" width="37.5" style="15" customWidth="1"/>
    <col min="8193" max="8447" width="9.1640625" style="15"/>
    <col min="8448" max="8448" width="37.5" style="15" customWidth="1"/>
    <col min="8449" max="8703" width="9.1640625" style="15"/>
    <col min="8704" max="8704" width="37.5" style="15" customWidth="1"/>
    <col min="8705" max="8959" width="9.1640625" style="15"/>
    <col min="8960" max="8960" width="37.5" style="15" customWidth="1"/>
    <col min="8961" max="9215" width="9.1640625" style="15"/>
    <col min="9216" max="9216" width="37.5" style="15" customWidth="1"/>
    <col min="9217" max="9471" width="9.1640625" style="15"/>
    <col min="9472" max="9472" width="37.5" style="15" customWidth="1"/>
    <col min="9473" max="9727" width="9.1640625" style="15"/>
    <col min="9728" max="9728" width="37.5" style="15" customWidth="1"/>
    <col min="9729" max="9983" width="9.1640625" style="15"/>
    <col min="9984" max="9984" width="37.5" style="15" customWidth="1"/>
    <col min="9985" max="10239" width="9.1640625" style="15"/>
    <col min="10240" max="10240" width="37.5" style="15" customWidth="1"/>
    <col min="10241" max="10495" width="9.1640625" style="15"/>
    <col min="10496" max="10496" width="37.5" style="15" customWidth="1"/>
    <col min="10497" max="10751" width="9.1640625" style="15"/>
    <col min="10752" max="10752" width="37.5" style="15" customWidth="1"/>
    <col min="10753" max="11007" width="9.1640625" style="15"/>
    <col min="11008" max="11008" width="37.5" style="15" customWidth="1"/>
    <col min="11009" max="11263" width="9.1640625" style="15"/>
    <col min="11264" max="11264" width="37.5" style="15" customWidth="1"/>
    <col min="11265" max="11519" width="9.1640625" style="15"/>
    <col min="11520" max="11520" width="37.5" style="15" customWidth="1"/>
    <col min="11521" max="11775" width="9.1640625" style="15"/>
    <col min="11776" max="11776" width="37.5" style="15" customWidth="1"/>
    <col min="11777" max="12031" width="9.1640625" style="15"/>
    <col min="12032" max="12032" width="37.5" style="15" customWidth="1"/>
    <col min="12033" max="12287" width="9.1640625" style="15"/>
    <col min="12288" max="12288" width="37.5" style="15" customWidth="1"/>
    <col min="12289" max="12543" width="9.1640625" style="15"/>
    <col min="12544" max="12544" width="37.5" style="15" customWidth="1"/>
    <col min="12545" max="12799" width="9.1640625" style="15"/>
    <col min="12800" max="12800" width="37.5" style="15" customWidth="1"/>
    <col min="12801" max="13055" width="9.1640625" style="15"/>
    <col min="13056" max="13056" width="37.5" style="15" customWidth="1"/>
    <col min="13057" max="13311" width="9.1640625" style="15"/>
    <col min="13312" max="13312" width="37.5" style="15" customWidth="1"/>
    <col min="13313" max="13567" width="9.1640625" style="15"/>
    <col min="13568" max="13568" width="37.5" style="15" customWidth="1"/>
    <col min="13569" max="13823" width="9.1640625" style="15"/>
    <col min="13824" max="13824" width="37.5" style="15" customWidth="1"/>
    <col min="13825" max="14079" width="9.1640625" style="15"/>
    <col min="14080" max="14080" width="37.5" style="15" customWidth="1"/>
    <col min="14081" max="14335" width="9.1640625" style="15"/>
    <col min="14336" max="14336" width="37.5" style="15" customWidth="1"/>
    <col min="14337" max="14591" width="9.1640625" style="15"/>
    <col min="14592" max="14592" width="37.5" style="15" customWidth="1"/>
    <col min="14593" max="14847" width="9.1640625" style="15"/>
    <col min="14848" max="14848" width="37.5" style="15" customWidth="1"/>
    <col min="14849" max="15103" width="9.1640625" style="15"/>
    <col min="15104" max="15104" width="37.5" style="15" customWidth="1"/>
    <col min="15105" max="15359" width="9.1640625" style="15"/>
    <col min="15360" max="15360" width="37.5" style="15" customWidth="1"/>
    <col min="15361" max="15615" width="9.1640625" style="15"/>
    <col min="15616" max="15616" width="37.5" style="15" customWidth="1"/>
    <col min="15617" max="15871" width="9.1640625" style="15"/>
    <col min="15872" max="15872" width="37.5" style="15" customWidth="1"/>
    <col min="15873" max="16127" width="9.1640625" style="15"/>
    <col min="16128" max="16128" width="37.5" style="15" customWidth="1"/>
    <col min="16129" max="16384" width="9.1640625" style="15"/>
  </cols>
  <sheetData>
    <row r="1" spans="1:12" s="246" customFormat="1" ht="23" x14ac:dyDescent="0.25">
      <c r="A1" s="232" t="str">
        <f>IS!A1</f>
        <v>Colgate-Palmolive Company</v>
      </c>
      <c r="D1" s="281"/>
      <c r="H1" s="256"/>
    </row>
    <row r="2" spans="1:12" s="243" customFormat="1" x14ac:dyDescent="0.15"/>
    <row r="3" spans="1:12" s="243" customFormat="1" ht="20" x14ac:dyDescent="0.2">
      <c r="A3" s="257" t="s">
        <v>188</v>
      </c>
    </row>
    <row r="5" spans="1:12" s="41" customFormat="1" ht="15" thickBot="1" x14ac:dyDescent="0.2">
      <c r="B5" s="43"/>
      <c r="C5" s="42">
        <f>BS!C5</f>
        <v>42735</v>
      </c>
      <c r="D5" s="42">
        <f>BS!D5</f>
        <v>43100</v>
      </c>
      <c r="E5" s="42">
        <f>BS!E5</f>
        <v>43465</v>
      </c>
      <c r="F5" s="42">
        <f>BS!F5</f>
        <v>43830</v>
      </c>
      <c r="G5" s="42">
        <f>BS!G5</f>
        <v>44196</v>
      </c>
      <c r="H5" s="42">
        <f>BS!H5</f>
        <v>44561</v>
      </c>
      <c r="I5" s="42">
        <f>BS!I5</f>
        <v>44926</v>
      </c>
      <c r="J5" s="42">
        <f>BS!J5</f>
        <v>45291</v>
      </c>
      <c r="K5" s="42">
        <f>BS!K5</f>
        <v>45657</v>
      </c>
      <c r="L5" s="42">
        <f>BS!L5</f>
        <v>46022</v>
      </c>
    </row>
    <row r="6" spans="1:12" x14ac:dyDescent="0.15">
      <c r="B6" s="15" t="s">
        <v>92</v>
      </c>
      <c r="C6" s="11">
        <f>IS!C$6</f>
        <v>15195</v>
      </c>
      <c r="D6" s="11">
        <f>IS!D$6</f>
        <v>15454</v>
      </c>
      <c r="E6" s="11">
        <f>IS!E$6</f>
        <v>15544</v>
      </c>
      <c r="F6" s="11">
        <f>IS!F$6</f>
        <v>15693</v>
      </c>
      <c r="G6" s="11">
        <f>IS!G$6</f>
        <v>16471</v>
      </c>
      <c r="H6" s="11">
        <f>IS!H$6</f>
        <v>17222.39</v>
      </c>
      <c r="I6" s="11">
        <f>IS!I$6</f>
        <v>18035.8243</v>
      </c>
      <c r="J6" s="11">
        <f>IS!J$6</f>
        <v>18916.991657000002</v>
      </c>
      <c r="K6" s="11">
        <f>IS!K$6</f>
        <v>19872.116844070002</v>
      </c>
      <c r="L6" s="11">
        <f>IS!L$6</f>
        <v>20908.011637772906</v>
      </c>
    </row>
    <row r="7" spans="1:12" x14ac:dyDescent="0.15">
      <c r="B7" s="15" t="s">
        <v>131</v>
      </c>
      <c r="C7" s="93"/>
      <c r="D7" s="94"/>
      <c r="E7" s="170">
        <f>2128-1781</f>
        <v>347</v>
      </c>
      <c r="F7" s="270">
        <f>3217-2128</f>
        <v>1089</v>
      </c>
      <c r="G7" s="270">
        <f>3553-3217</f>
        <v>336</v>
      </c>
      <c r="H7" s="88">
        <f>H6*H8</f>
        <v>344.44779999999997</v>
      </c>
      <c r="I7" s="88">
        <f t="shared" ref="I7:L7" si="0">I6*I8</f>
        <v>360.71648600000003</v>
      </c>
      <c r="J7" s="88">
        <f t="shared" si="0"/>
        <v>378.33983314000005</v>
      </c>
      <c r="K7" s="88">
        <f t="shared" si="0"/>
        <v>397.44233688140002</v>
      </c>
      <c r="L7" s="88">
        <f t="shared" si="0"/>
        <v>418.16023275545814</v>
      </c>
    </row>
    <row r="8" spans="1:12" x14ac:dyDescent="0.15">
      <c r="B8" s="53" t="s">
        <v>132</v>
      </c>
      <c r="C8" s="54"/>
      <c r="D8" s="54"/>
      <c r="E8" s="54">
        <f>E7/E6</f>
        <v>2.2323726196603191E-2</v>
      </c>
      <c r="F8" s="54">
        <f t="shared" ref="F8:G8" si="1">F7/F6</f>
        <v>6.9393997323647483E-2</v>
      </c>
      <c r="G8" s="54">
        <f t="shared" si="1"/>
        <v>2.0399490012749683E-2</v>
      </c>
      <c r="H8" s="221">
        <v>0.02</v>
      </c>
      <c r="I8" s="221">
        <v>0.02</v>
      </c>
      <c r="J8" s="221">
        <v>0.02</v>
      </c>
      <c r="K8" s="221">
        <v>0.02</v>
      </c>
      <c r="L8" s="221">
        <v>0.02</v>
      </c>
    </row>
    <row r="10" spans="1:12" x14ac:dyDescent="0.15">
      <c r="B10" s="15" t="s">
        <v>133</v>
      </c>
      <c r="C10" s="89"/>
      <c r="D10" s="89"/>
      <c r="E10" s="89"/>
      <c r="F10" s="89"/>
      <c r="G10" s="89"/>
      <c r="H10" s="90">
        <f>G13</f>
        <v>2894</v>
      </c>
      <c r="I10" s="90">
        <f t="shared" ref="I10:L10" si="2">H13</f>
        <v>3155.4477999999999</v>
      </c>
      <c r="J10" s="90">
        <f t="shared" si="2"/>
        <v>3433.1642860000002</v>
      </c>
      <c r="K10" s="90">
        <f t="shared" si="2"/>
        <v>3728.5041191400001</v>
      </c>
      <c r="L10" s="90">
        <f t="shared" si="2"/>
        <v>4042.9464560214001</v>
      </c>
    </row>
    <row r="11" spans="1:12" x14ac:dyDescent="0.15">
      <c r="B11" s="15" t="s">
        <v>131</v>
      </c>
      <c r="C11" s="89"/>
      <c r="D11" s="89"/>
      <c r="E11" s="89"/>
      <c r="F11" s="89"/>
      <c r="G11" s="89"/>
      <c r="H11" s="90">
        <f>H7</f>
        <v>344.44779999999997</v>
      </c>
      <c r="I11" s="90">
        <f t="shared" ref="I11:L11" si="3">I7</f>
        <v>360.71648600000003</v>
      </c>
      <c r="J11" s="90">
        <f t="shared" si="3"/>
        <v>378.33983314000005</v>
      </c>
      <c r="K11" s="90">
        <f t="shared" si="3"/>
        <v>397.44233688140002</v>
      </c>
      <c r="L11" s="90">
        <f t="shared" si="3"/>
        <v>418.16023275545814</v>
      </c>
    </row>
    <row r="12" spans="1:12" x14ac:dyDescent="0.15">
      <c r="B12" s="15" t="s">
        <v>134</v>
      </c>
      <c r="C12" s="89"/>
      <c r="D12" s="89"/>
      <c r="E12" s="89"/>
      <c r="F12" s="293">
        <v>-62</v>
      </c>
      <c r="G12" s="293">
        <v>-88</v>
      </c>
      <c r="H12" s="150">
        <v>-83</v>
      </c>
      <c r="I12" s="150">
        <v>-83</v>
      </c>
      <c r="J12" s="150">
        <v>-83</v>
      </c>
      <c r="K12" s="150">
        <v>-83</v>
      </c>
      <c r="L12" s="150">
        <v>-83</v>
      </c>
    </row>
    <row r="13" spans="1:12" x14ac:dyDescent="0.15">
      <c r="B13" s="15" t="s">
        <v>135</v>
      </c>
      <c r="C13" s="91"/>
      <c r="D13" s="92"/>
      <c r="E13" s="92"/>
      <c r="F13" s="92"/>
      <c r="G13" s="92">
        <f>BS!G16</f>
        <v>2894</v>
      </c>
      <c r="H13" s="92">
        <f>SUM(H10:H12)</f>
        <v>3155.4477999999999</v>
      </c>
      <c r="I13" s="92">
        <f t="shared" ref="I13:L13" si="4">SUM(I10:I12)</f>
        <v>3433.1642860000002</v>
      </c>
      <c r="J13" s="92">
        <f t="shared" si="4"/>
        <v>3728.5041191400001</v>
      </c>
      <c r="K13" s="92">
        <f t="shared" si="4"/>
        <v>4042.9464560214001</v>
      </c>
      <c r="L13" s="92">
        <f t="shared" si="4"/>
        <v>4378.1066887768584</v>
      </c>
    </row>
    <row r="15" spans="1:12" x14ac:dyDescent="0.15">
      <c r="C15" s="54"/>
      <c r="D15" s="54"/>
      <c r="E15" s="54"/>
      <c r="F15" s="54"/>
      <c r="G15" s="54"/>
      <c r="H15" s="54"/>
      <c r="I15" s="54"/>
      <c r="J15" s="54"/>
      <c r="K15" s="54"/>
      <c r="L15" s="5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"/>
  <sheetViews>
    <sheetView showGridLines="0" zoomScale="150" zoomScaleNormal="15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6" sqref="A16"/>
    </sheetView>
  </sheetViews>
  <sheetFormatPr baseColWidth="10" defaultColWidth="8.83203125" defaultRowHeight="14" x14ac:dyDescent="0.15"/>
  <cols>
    <col min="1" max="1" width="3" style="15" customWidth="1"/>
    <col min="2" max="2" width="41.33203125" style="15" customWidth="1"/>
    <col min="3" max="5" width="10.1640625" style="15" customWidth="1"/>
    <col min="6" max="9" width="10.1640625" style="15" bestFit="1" customWidth="1"/>
    <col min="10" max="10" width="10" style="15" bestFit="1" customWidth="1"/>
    <col min="11" max="255" width="9.1640625" style="15"/>
    <col min="256" max="256" width="37.5" style="15" customWidth="1"/>
    <col min="257" max="511" width="9.1640625" style="15"/>
    <col min="512" max="512" width="37.5" style="15" customWidth="1"/>
    <col min="513" max="767" width="9.1640625" style="15"/>
    <col min="768" max="768" width="37.5" style="15" customWidth="1"/>
    <col min="769" max="1023" width="9.1640625" style="15"/>
    <col min="1024" max="1024" width="37.5" style="15" customWidth="1"/>
    <col min="1025" max="1279" width="9.1640625" style="15"/>
    <col min="1280" max="1280" width="37.5" style="15" customWidth="1"/>
    <col min="1281" max="1535" width="9.1640625" style="15"/>
    <col min="1536" max="1536" width="37.5" style="15" customWidth="1"/>
    <col min="1537" max="1791" width="9.1640625" style="15"/>
    <col min="1792" max="1792" width="37.5" style="15" customWidth="1"/>
    <col min="1793" max="2047" width="9.1640625" style="15"/>
    <col min="2048" max="2048" width="37.5" style="15" customWidth="1"/>
    <col min="2049" max="2303" width="9.1640625" style="15"/>
    <col min="2304" max="2304" width="37.5" style="15" customWidth="1"/>
    <col min="2305" max="2559" width="9.1640625" style="15"/>
    <col min="2560" max="2560" width="37.5" style="15" customWidth="1"/>
    <col min="2561" max="2815" width="9.1640625" style="15"/>
    <col min="2816" max="2816" width="37.5" style="15" customWidth="1"/>
    <col min="2817" max="3071" width="9.1640625" style="15"/>
    <col min="3072" max="3072" width="37.5" style="15" customWidth="1"/>
    <col min="3073" max="3327" width="9.1640625" style="15"/>
    <col min="3328" max="3328" width="37.5" style="15" customWidth="1"/>
    <col min="3329" max="3583" width="9.1640625" style="15"/>
    <col min="3584" max="3584" width="37.5" style="15" customWidth="1"/>
    <col min="3585" max="3839" width="9.1640625" style="15"/>
    <col min="3840" max="3840" width="37.5" style="15" customWidth="1"/>
    <col min="3841" max="4095" width="9.1640625" style="15"/>
    <col min="4096" max="4096" width="37.5" style="15" customWidth="1"/>
    <col min="4097" max="4351" width="9.1640625" style="15"/>
    <col min="4352" max="4352" width="37.5" style="15" customWidth="1"/>
    <col min="4353" max="4607" width="9.1640625" style="15"/>
    <col min="4608" max="4608" width="37.5" style="15" customWidth="1"/>
    <col min="4609" max="4863" width="9.1640625" style="15"/>
    <col min="4864" max="4864" width="37.5" style="15" customWidth="1"/>
    <col min="4865" max="5119" width="9.1640625" style="15"/>
    <col min="5120" max="5120" width="37.5" style="15" customWidth="1"/>
    <col min="5121" max="5375" width="9.1640625" style="15"/>
    <col min="5376" max="5376" width="37.5" style="15" customWidth="1"/>
    <col min="5377" max="5631" width="9.1640625" style="15"/>
    <col min="5632" max="5632" width="37.5" style="15" customWidth="1"/>
    <col min="5633" max="5887" width="9.1640625" style="15"/>
    <col min="5888" max="5888" width="37.5" style="15" customWidth="1"/>
    <col min="5889" max="6143" width="9.1640625" style="15"/>
    <col min="6144" max="6144" width="37.5" style="15" customWidth="1"/>
    <col min="6145" max="6399" width="9.1640625" style="15"/>
    <col min="6400" max="6400" width="37.5" style="15" customWidth="1"/>
    <col min="6401" max="6655" width="9.1640625" style="15"/>
    <col min="6656" max="6656" width="37.5" style="15" customWidth="1"/>
    <col min="6657" max="6911" width="9.1640625" style="15"/>
    <col min="6912" max="6912" width="37.5" style="15" customWidth="1"/>
    <col min="6913" max="7167" width="9.1640625" style="15"/>
    <col min="7168" max="7168" width="37.5" style="15" customWidth="1"/>
    <col min="7169" max="7423" width="9.1640625" style="15"/>
    <col min="7424" max="7424" width="37.5" style="15" customWidth="1"/>
    <col min="7425" max="7679" width="9.1640625" style="15"/>
    <col min="7680" max="7680" width="37.5" style="15" customWidth="1"/>
    <col min="7681" max="7935" width="9.1640625" style="15"/>
    <col min="7936" max="7936" width="37.5" style="15" customWidth="1"/>
    <col min="7937" max="8191" width="9.1640625" style="15"/>
    <col min="8192" max="8192" width="37.5" style="15" customWidth="1"/>
    <col min="8193" max="8447" width="9.1640625" style="15"/>
    <col min="8448" max="8448" width="37.5" style="15" customWidth="1"/>
    <col min="8449" max="8703" width="9.1640625" style="15"/>
    <col min="8704" max="8704" width="37.5" style="15" customWidth="1"/>
    <col min="8705" max="8959" width="9.1640625" style="15"/>
    <col min="8960" max="8960" width="37.5" style="15" customWidth="1"/>
    <col min="8961" max="9215" width="9.1640625" style="15"/>
    <col min="9216" max="9216" width="37.5" style="15" customWidth="1"/>
    <col min="9217" max="9471" width="9.1640625" style="15"/>
    <col min="9472" max="9472" width="37.5" style="15" customWidth="1"/>
    <col min="9473" max="9727" width="9.1640625" style="15"/>
    <col min="9728" max="9728" width="37.5" style="15" customWidth="1"/>
    <col min="9729" max="9983" width="9.1640625" style="15"/>
    <col min="9984" max="9984" width="37.5" style="15" customWidth="1"/>
    <col min="9985" max="10239" width="9.1640625" style="15"/>
    <col min="10240" max="10240" width="37.5" style="15" customWidth="1"/>
    <col min="10241" max="10495" width="9.1640625" style="15"/>
    <col min="10496" max="10496" width="37.5" style="15" customWidth="1"/>
    <col min="10497" max="10751" width="9.1640625" style="15"/>
    <col min="10752" max="10752" width="37.5" style="15" customWidth="1"/>
    <col min="10753" max="11007" width="9.1640625" style="15"/>
    <col min="11008" max="11008" width="37.5" style="15" customWidth="1"/>
    <col min="11009" max="11263" width="9.1640625" style="15"/>
    <col min="11264" max="11264" width="37.5" style="15" customWidth="1"/>
    <col min="11265" max="11519" width="9.1640625" style="15"/>
    <col min="11520" max="11520" width="37.5" style="15" customWidth="1"/>
    <col min="11521" max="11775" width="9.1640625" style="15"/>
    <col min="11776" max="11776" width="37.5" style="15" customWidth="1"/>
    <col min="11777" max="12031" width="9.1640625" style="15"/>
    <col min="12032" max="12032" width="37.5" style="15" customWidth="1"/>
    <col min="12033" max="12287" width="9.1640625" style="15"/>
    <col min="12288" max="12288" width="37.5" style="15" customWidth="1"/>
    <col min="12289" max="12543" width="9.1640625" style="15"/>
    <col min="12544" max="12544" width="37.5" style="15" customWidth="1"/>
    <col min="12545" max="12799" width="9.1640625" style="15"/>
    <col min="12800" max="12800" width="37.5" style="15" customWidth="1"/>
    <col min="12801" max="13055" width="9.1640625" style="15"/>
    <col min="13056" max="13056" width="37.5" style="15" customWidth="1"/>
    <col min="13057" max="13311" width="9.1640625" style="15"/>
    <col min="13312" max="13312" width="37.5" style="15" customWidth="1"/>
    <col min="13313" max="13567" width="9.1640625" style="15"/>
    <col min="13568" max="13568" width="37.5" style="15" customWidth="1"/>
    <col min="13569" max="13823" width="9.1640625" style="15"/>
    <col min="13824" max="13824" width="37.5" style="15" customWidth="1"/>
    <col min="13825" max="14079" width="9.1640625" style="15"/>
    <col min="14080" max="14080" width="37.5" style="15" customWidth="1"/>
    <col min="14081" max="14335" width="9.1640625" style="15"/>
    <col min="14336" max="14336" width="37.5" style="15" customWidth="1"/>
    <col min="14337" max="14591" width="9.1640625" style="15"/>
    <col min="14592" max="14592" width="37.5" style="15" customWidth="1"/>
    <col min="14593" max="14847" width="9.1640625" style="15"/>
    <col min="14848" max="14848" width="37.5" style="15" customWidth="1"/>
    <col min="14849" max="15103" width="9.1640625" style="15"/>
    <col min="15104" max="15104" width="37.5" style="15" customWidth="1"/>
    <col min="15105" max="15359" width="9.1640625" style="15"/>
    <col min="15360" max="15360" width="37.5" style="15" customWidth="1"/>
    <col min="15361" max="15615" width="9.1640625" style="15"/>
    <col min="15616" max="15616" width="37.5" style="15" customWidth="1"/>
    <col min="15617" max="15871" width="9.1640625" style="15"/>
    <col min="15872" max="15872" width="37.5" style="15" customWidth="1"/>
    <col min="15873" max="16127" width="9.1640625" style="15"/>
    <col min="16128" max="16128" width="37.5" style="15" customWidth="1"/>
    <col min="16129" max="16384" width="9.1640625" style="15"/>
  </cols>
  <sheetData>
    <row r="1" spans="1:12" s="246" customFormat="1" ht="23" x14ac:dyDescent="0.25">
      <c r="A1" s="232" t="str">
        <f>IS!A1</f>
        <v>Colgate-Palmolive Company</v>
      </c>
      <c r="D1" s="281"/>
      <c r="H1" s="256"/>
    </row>
    <row r="2" spans="1:12" s="243" customFormat="1" x14ac:dyDescent="0.15"/>
    <row r="3" spans="1:12" s="243" customFormat="1" ht="20" x14ac:dyDescent="0.2">
      <c r="A3" s="257" t="s">
        <v>216</v>
      </c>
    </row>
    <row r="5" spans="1:12" s="41" customFormat="1" ht="15" thickBot="1" x14ac:dyDescent="0.2">
      <c r="B5" s="43"/>
      <c r="C5" s="42">
        <f>BS!C5</f>
        <v>42735</v>
      </c>
      <c r="D5" s="42">
        <f>BS!D5</f>
        <v>43100</v>
      </c>
      <c r="E5" s="42">
        <f>BS!E5</f>
        <v>43465</v>
      </c>
      <c r="F5" s="42">
        <f>BS!F5</f>
        <v>43830</v>
      </c>
      <c r="G5" s="42">
        <f>BS!G5</f>
        <v>44196</v>
      </c>
      <c r="H5" s="42">
        <f>BS!H5</f>
        <v>44561</v>
      </c>
      <c r="I5" s="42">
        <f>BS!I5</f>
        <v>44926</v>
      </c>
      <c r="J5" s="42">
        <f>BS!J5</f>
        <v>45291</v>
      </c>
      <c r="K5" s="42">
        <f>BS!K5</f>
        <v>45657</v>
      </c>
      <c r="L5" s="42">
        <f>BS!L5</f>
        <v>46022</v>
      </c>
    </row>
    <row r="6" spans="1:12" x14ac:dyDescent="0.15">
      <c r="C6" s="57"/>
      <c r="D6" s="92"/>
      <c r="E6" s="92"/>
      <c r="F6" s="92"/>
      <c r="G6" s="92"/>
      <c r="H6" s="92"/>
      <c r="I6" s="92"/>
      <c r="J6" s="92"/>
      <c r="K6" s="92"/>
      <c r="L6" s="92"/>
    </row>
    <row r="7" spans="1:12" x14ac:dyDescent="0.15">
      <c r="A7" s="159" t="s">
        <v>21</v>
      </c>
      <c r="B7" s="159"/>
      <c r="C7" s="98"/>
      <c r="D7" s="163"/>
      <c r="E7" s="163"/>
      <c r="F7" s="163"/>
      <c r="G7" s="163"/>
      <c r="H7" s="163"/>
      <c r="I7" s="163"/>
      <c r="J7" s="163"/>
      <c r="K7" s="163"/>
      <c r="L7" s="163"/>
    </row>
    <row r="8" spans="1:12" x14ac:dyDescent="0.15">
      <c r="B8" s="2" t="s">
        <v>28</v>
      </c>
      <c r="C8" s="94">
        <f>BS!C15</f>
        <v>2107</v>
      </c>
      <c r="D8" s="94">
        <f>BS!D15</f>
        <v>2218</v>
      </c>
      <c r="E8" s="94">
        <f>BS!E15</f>
        <v>2530</v>
      </c>
      <c r="F8" s="94">
        <f>BS!F15</f>
        <v>3508</v>
      </c>
      <c r="G8" s="94">
        <f>BS!$G$15</f>
        <v>3824</v>
      </c>
      <c r="H8" s="75">
        <f>BS!$G$15</f>
        <v>3824</v>
      </c>
      <c r="I8" s="75">
        <f>BS!$G$15</f>
        <v>3824</v>
      </c>
      <c r="J8" s="75">
        <f>BS!$G$15</f>
        <v>3824</v>
      </c>
      <c r="K8" s="75">
        <f>BS!$G$15</f>
        <v>3824</v>
      </c>
      <c r="L8" s="75">
        <f>BS!$G$15</f>
        <v>3824</v>
      </c>
    </row>
    <row r="9" spans="1:12" x14ac:dyDescent="0.15">
      <c r="B9" s="2" t="s">
        <v>30</v>
      </c>
      <c r="C9" s="94">
        <f>BS!C17</f>
        <v>301</v>
      </c>
      <c r="D9" s="94">
        <f>BS!D17</f>
        <v>188</v>
      </c>
      <c r="E9" s="94">
        <f>BS!E17</f>
        <v>152</v>
      </c>
      <c r="F9" s="94">
        <f>BS!F17</f>
        <v>177</v>
      </c>
      <c r="G9" s="94">
        <f>BS!$G$17</f>
        <v>291</v>
      </c>
      <c r="H9" s="75">
        <f>BS!$G$17</f>
        <v>291</v>
      </c>
      <c r="I9" s="75">
        <f>BS!$G$17</f>
        <v>291</v>
      </c>
      <c r="J9" s="75">
        <f>BS!$G$17</f>
        <v>291</v>
      </c>
      <c r="K9" s="75">
        <f>BS!$G$17</f>
        <v>291</v>
      </c>
      <c r="L9" s="75">
        <f>BS!$G$17</f>
        <v>291</v>
      </c>
    </row>
    <row r="10" spans="1:12" x14ac:dyDescent="0.15">
      <c r="B10" s="3" t="s">
        <v>31</v>
      </c>
      <c r="C10" s="94">
        <f>BS!C18</f>
        <v>224</v>
      </c>
      <c r="D10" s="94">
        <f>BS!D18</f>
        <v>218</v>
      </c>
      <c r="E10" s="94">
        <f>BS!E18</f>
        <v>168</v>
      </c>
      <c r="F10" s="94">
        <f>BS!F18</f>
        <v>753</v>
      </c>
      <c r="G10" s="94">
        <f>BS!$G$18</f>
        <v>857</v>
      </c>
      <c r="H10" s="75">
        <f>BS!$G$18</f>
        <v>857</v>
      </c>
      <c r="I10" s="75">
        <f>BS!$G$18</f>
        <v>857</v>
      </c>
      <c r="J10" s="75">
        <f>BS!$G$18</f>
        <v>857</v>
      </c>
      <c r="K10" s="75">
        <f>BS!$G$18</f>
        <v>857</v>
      </c>
      <c r="L10" s="75">
        <f>BS!$G$18</f>
        <v>857</v>
      </c>
    </row>
    <row r="12" spans="1:12" x14ac:dyDescent="0.15">
      <c r="A12" s="159" t="s">
        <v>217</v>
      </c>
    </row>
    <row r="13" spans="1:12" x14ac:dyDescent="0.15">
      <c r="B13" s="2" t="s">
        <v>30</v>
      </c>
      <c r="C13" s="169">
        <f>BS!C33</f>
        <v>246</v>
      </c>
      <c r="D13" s="169">
        <f>BS!D33</f>
        <v>204</v>
      </c>
      <c r="E13" s="169">
        <f>BS!E33</f>
        <v>235</v>
      </c>
      <c r="F13" s="169">
        <f>BS!F33</f>
        <v>507</v>
      </c>
      <c r="G13" s="169">
        <f>BS!$G$33</f>
        <v>426</v>
      </c>
      <c r="H13" s="196">
        <f>BS!$G$33</f>
        <v>426</v>
      </c>
      <c r="I13" s="196">
        <f>BS!$G$33</f>
        <v>426</v>
      </c>
      <c r="J13" s="196">
        <f>BS!$G$33</f>
        <v>426</v>
      </c>
      <c r="K13" s="196">
        <f>BS!$G$33</f>
        <v>426</v>
      </c>
      <c r="L13" s="196">
        <f>BS!$G$33</f>
        <v>426</v>
      </c>
    </row>
    <row r="14" spans="1:12" x14ac:dyDescent="0.15">
      <c r="B14" s="2" t="s">
        <v>42</v>
      </c>
      <c r="C14" s="169">
        <f>BS!C34</f>
        <v>2035</v>
      </c>
      <c r="D14" s="169">
        <f>BS!D34</f>
        <v>2255</v>
      </c>
      <c r="E14" s="169">
        <f>BS!E34</f>
        <v>2034</v>
      </c>
      <c r="F14" s="169">
        <f>BS!F34</f>
        <v>2598</v>
      </c>
      <c r="G14" s="169">
        <f>BS!$G$34</f>
        <v>2655</v>
      </c>
      <c r="H14" s="196">
        <f>BS!$G$34</f>
        <v>2655</v>
      </c>
      <c r="I14" s="196">
        <f>BS!$G$34</f>
        <v>2655</v>
      </c>
      <c r="J14" s="196">
        <f>BS!$G$34</f>
        <v>2655</v>
      </c>
      <c r="K14" s="196">
        <f>BS!$G$34</f>
        <v>2655</v>
      </c>
      <c r="L14" s="196">
        <f>BS!$G$34</f>
        <v>2655</v>
      </c>
    </row>
  </sheetData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showGridLines="0" zoomScale="150" zoomScaleNormal="15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14" sqref="L14"/>
    </sheetView>
  </sheetViews>
  <sheetFormatPr baseColWidth="10" defaultColWidth="8.83203125" defaultRowHeight="14" x14ac:dyDescent="0.15"/>
  <cols>
    <col min="1" max="1" width="2.5" style="15" customWidth="1"/>
    <col min="2" max="2" width="43.33203125" style="15" customWidth="1"/>
    <col min="3" max="3" width="14.1640625" style="15" customWidth="1"/>
    <col min="4" max="4" width="13.83203125" style="15" customWidth="1"/>
    <col min="5" max="5" width="10.5" style="15" customWidth="1"/>
    <col min="6" max="7" width="10" style="15" customWidth="1"/>
    <col min="8" max="8" width="10.5" style="15" customWidth="1"/>
    <col min="9" max="9" width="10.5" style="15" bestFit="1" customWidth="1"/>
    <col min="10" max="10" width="10.33203125" style="15" bestFit="1" customWidth="1"/>
    <col min="11" max="12" width="9.5" style="15" bestFit="1" customWidth="1"/>
    <col min="13" max="255" width="9.1640625" style="15"/>
    <col min="256" max="256" width="37.5" style="15" customWidth="1"/>
    <col min="257" max="257" width="12.5" style="15" customWidth="1"/>
    <col min="258" max="266" width="13.5" style="15" customWidth="1"/>
    <col min="267" max="511" width="9.1640625" style="15"/>
    <col min="512" max="512" width="37.5" style="15" customWidth="1"/>
    <col min="513" max="513" width="12.5" style="15" customWidth="1"/>
    <col min="514" max="522" width="13.5" style="15" customWidth="1"/>
    <col min="523" max="767" width="9.1640625" style="15"/>
    <col min="768" max="768" width="37.5" style="15" customWidth="1"/>
    <col min="769" max="769" width="12.5" style="15" customWidth="1"/>
    <col min="770" max="778" width="13.5" style="15" customWidth="1"/>
    <col min="779" max="1023" width="9.1640625" style="15"/>
    <col min="1024" max="1024" width="37.5" style="15" customWidth="1"/>
    <col min="1025" max="1025" width="12.5" style="15" customWidth="1"/>
    <col min="1026" max="1034" width="13.5" style="15" customWidth="1"/>
    <col min="1035" max="1279" width="9.1640625" style="15"/>
    <col min="1280" max="1280" width="37.5" style="15" customWidth="1"/>
    <col min="1281" max="1281" width="12.5" style="15" customWidth="1"/>
    <col min="1282" max="1290" width="13.5" style="15" customWidth="1"/>
    <col min="1291" max="1535" width="9.1640625" style="15"/>
    <col min="1536" max="1536" width="37.5" style="15" customWidth="1"/>
    <col min="1537" max="1537" width="12.5" style="15" customWidth="1"/>
    <col min="1538" max="1546" width="13.5" style="15" customWidth="1"/>
    <col min="1547" max="1791" width="9.1640625" style="15"/>
    <col min="1792" max="1792" width="37.5" style="15" customWidth="1"/>
    <col min="1793" max="1793" width="12.5" style="15" customWidth="1"/>
    <col min="1794" max="1802" width="13.5" style="15" customWidth="1"/>
    <col min="1803" max="2047" width="9.1640625" style="15"/>
    <col min="2048" max="2048" width="37.5" style="15" customWidth="1"/>
    <col min="2049" max="2049" width="12.5" style="15" customWidth="1"/>
    <col min="2050" max="2058" width="13.5" style="15" customWidth="1"/>
    <col min="2059" max="2303" width="9.1640625" style="15"/>
    <col min="2304" max="2304" width="37.5" style="15" customWidth="1"/>
    <col min="2305" max="2305" width="12.5" style="15" customWidth="1"/>
    <col min="2306" max="2314" width="13.5" style="15" customWidth="1"/>
    <col min="2315" max="2559" width="9.1640625" style="15"/>
    <col min="2560" max="2560" width="37.5" style="15" customWidth="1"/>
    <col min="2561" max="2561" width="12.5" style="15" customWidth="1"/>
    <col min="2562" max="2570" width="13.5" style="15" customWidth="1"/>
    <col min="2571" max="2815" width="9.1640625" style="15"/>
    <col min="2816" max="2816" width="37.5" style="15" customWidth="1"/>
    <col min="2817" max="2817" width="12.5" style="15" customWidth="1"/>
    <col min="2818" max="2826" width="13.5" style="15" customWidth="1"/>
    <col min="2827" max="3071" width="9.1640625" style="15"/>
    <col min="3072" max="3072" width="37.5" style="15" customWidth="1"/>
    <col min="3073" max="3073" width="12.5" style="15" customWidth="1"/>
    <col min="3074" max="3082" width="13.5" style="15" customWidth="1"/>
    <col min="3083" max="3327" width="9.1640625" style="15"/>
    <col min="3328" max="3328" width="37.5" style="15" customWidth="1"/>
    <col min="3329" max="3329" width="12.5" style="15" customWidth="1"/>
    <col min="3330" max="3338" width="13.5" style="15" customWidth="1"/>
    <col min="3339" max="3583" width="9.1640625" style="15"/>
    <col min="3584" max="3584" width="37.5" style="15" customWidth="1"/>
    <col min="3585" max="3585" width="12.5" style="15" customWidth="1"/>
    <col min="3586" max="3594" width="13.5" style="15" customWidth="1"/>
    <col min="3595" max="3839" width="9.1640625" style="15"/>
    <col min="3840" max="3840" width="37.5" style="15" customWidth="1"/>
    <col min="3841" max="3841" width="12.5" style="15" customWidth="1"/>
    <col min="3842" max="3850" width="13.5" style="15" customWidth="1"/>
    <col min="3851" max="4095" width="9.1640625" style="15"/>
    <col min="4096" max="4096" width="37.5" style="15" customWidth="1"/>
    <col min="4097" max="4097" width="12.5" style="15" customWidth="1"/>
    <col min="4098" max="4106" width="13.5" style="15" customWidth="1"/>
    <col min="4107" max="4351" width="9.1640625" style="15"/>
    <col min="4352" max="4352" width="37.5" style="15" customWidth="1"/>
    <col min="4353" max="4353" width="12.5" style="15" customWidth="1"/>
    <col min="4354" max="4362" width="13.5" style="15" customWidth="1"/>
    <col min="4363" max="4607" width="9.1640625" style="15"/>
    <col min="4608" max="4608" width="37.5" style="15" customWidth="1"/>
    <col min="4609" max="4609" width="12.5" style="15" customWidth="1"/>
    <col min="4610" max="4618" width="13.5" style="15" customWidth="1"/>
    <col min="4619" max="4863" width="9.1640625" style="15"/>
    <col min="4864" max="4864" width="37.5" style="15" customWidth="1"/>
    <col min="4865" max="4865" width="12.5" style="15" customWidth="1"/>
    <col min="4866" max="4874" width="13.5" style="15" customWidth="1"/>
    <col min="4875" max="5119" width="9.1640625" style="15"/>
    <col min="5120" max="5120" width="37.5" style="15" customWidth="1"/>
    <col min="5121" max="5121" width="12.5" style="15" customWidth="1"/>
    <col min="5122" max="5130" width="13.5" style="15" customWidth="1"/>
    <col min="5131" max="5375" width="9.1640625" style="15"/>
    <col min="5376" max="5376" width="37.5" style="15" customWidth="1"/>
    <col min="5377" max="5377" width="12.5" style="15" customWidth="1"/>
    <col min="5378" max="5386" width="13.5" style="15" customWidth="1"/>
    <col min="5387" max="5631" width="9.1640625" style="15"/>
    <col min="5632" max="5632" width="37.5" style="15" customWidth="1"/>
    <col min="5633" max="5633" width="12.5" style="15" customWidth="1"/>
    <col min="5634" max="5642" width="13.5" style="15" customWidth="1"/>
    <col min="5643" max="5887" width="9.1640625" style="15"/>
    <col min="5888" max="5888" width="37.5" style="15" customWidth="1"/>
    <col min="5889" max="5889" width="12.5" style="15" customWidth="1"/>
    <col min="5890" max="5898" width="13.5" style="15" customWidth="1"/>
    <col min="5899" max="6143" width="9.1640625" style="15"/>
    <col min="6144" max="6144" width="37.5" style="15" customWidth="1"/>
    <col min="6145" max="6145" width="12.5" style="15" customWidth="1"/>
    <col min="6146" max="6154" width="13.5" style="15" customWidth="1"/>
    <col min="6155" max="6399" width="9.1640625" style="15"/>
    <col min="6400" max="6400" width="37.5" style="15" customWidth="1"/>
    <col min="6401" max="6401" width="12.5" style="15" customWidth="1"/>
    <col min="6402" max="6410" width="13.5" style="15" customWidth="1"/>
    <col min="6411" max="6655" width="9.1640625" style="15"/>
    <col min="6656" max="6656" width="37.5" style="15" customWidth="1"/>
    <col min="6657" max="6657" width="12.5" style="15" customWidth="1"/>
    <col min="6658" max="6666" width="13.5" style="15" customWidth="1"/>
    <col min="6667" max="6911" width="9.1640625" style="15"/>
    <col min="6912" max="6912" width="37.5" style="15" customWidth="1"/>
    <col min="6913" max="6913" width="12.5" style="15" customWidth="1"/>
    <col min="6914" max="6922" width="13.5" style="15" customWidth="1"/>
    <col min="6923" max="7167" width="9.1640625" style="15"/>
    <col min="7168" max="7168" width="37.5" style="15" customWidth="1"/>
    <col min="7169" max="7169" width="12.5" style="15" customWidth="1"/>
    <col min="7170" max="7178" width="13.5" style="15" customWidth="1"/>
    <col min="7179" max="7423" width="9.1640625" style="15"/>
    <col min="7424" max="7424" width="37.5" style="15" customWidth="1"/>
    <col min="7425" max="7425" width="12.5" style="15" customWidth="1"/>
    <col min="7426" max="7434" width="13.5" style="15" customWidth="1"/>
    <col min="7435" max="7679" width="9.1640625" style="15"/>
    <col min="7680" max="7680" width="37.5" style="15" customWidth="1"/>
    <col min="7681" max="7681" width="12.5" style="15" customWidth="1"/>
    <col min="7682" max="7690" width="13.5" style="15" customWidth="1"/>
    <col min="7691" max="7935" width="9.1640625" style="15"/>
    <col min="7936" max="7936" width="37.5" style="15" customWidth="1"/>
    <col min="7937" max="7937" width="12.5" style="15" customWidth="1"/>
    <col min="7938" max="7946" width="13.5" style="15" customWidth="1"/>
    <col min="7947" max="8191" width="9.1640625" style="15"/>
    <col min="8192" max="8192" width="37.5" style="15" customWidth="1"/>
    <col min="8193" max="8193" width="12.5" style="15" customWidth="1"/>
    <col min="8194" max="8202" width="13.5" style="15" customWidth="1"/>
    <col min="8203" max="8447" width="9.1640625" style="15"/>
    <col min="8448" max="8448" width="37.5" style="15" customWidth="1"/>
    <col min="8449" max="8449" width="12.5" style="15" customWidth="1"/>
    <col min="8450" max="8458" width="13.5" style="15" customWidth="1"/>
    <col min="8459" max="8703" width="9.1640625" style="15"/>
    <col min="8704" max="8704" width="37.5" style="15" customWidth="1"/>
    <col min="8705" max="8705" width="12.5" style="15" customWidth="1"/>
    <col min="8706" max="8714" width="13.5" style="15" customWidth="1"/>
    <col min="8715" max="8959" width="9.1640625" style="15"/>
    <col min="8960" max="8960" width="37.5" style="15" customWidth="1"/>
    <col min="8961" max="8961" width="12.5" style="15" customWidth="1"/>
    <col min="8962" max="8970" width="13.5" style="15" customWidth="1"/>
    <col min="8971" max="9215" width="9.1640625" style="15"/>
    <col min="9216" max="9216" width="37.5" style="15" customWidth="1"/>
    <col min="9217" max="9217" width="12.5" style="15" customWidth="1"/>
    <col min="9218" max="9226" width="13.5" style="15" customWidth="1"/>
    <col min="9227" max="9471" width="9.1640625" style="15"/>
    <col min="9472" max="9472" width="37.5" style="15" customWidth="1"/>
    <col min="9473" max="9473" width="12.5" style="15" customWidth="1"/>
    <col min="9474" max="9482" width="13.5" style="15" customWidth="1"/>
    <col min="9483" max="9727" width="9.1640625" style="15"/>
    <col min="9728" max="9728" width="37.5" style="15" customWidth="1"/>
    <col min="9729" max="9729" width="12.5" style="15" customWidth="1"/>
    <col min="9730" max="9738" width="13.5" style="15" customWidth="1"/>
    <col min="9739" max="9983" width="9.1640625" style="15"/>
    <col min="9984" max="9984" width="37.5" style="15" customWidth="1"/>
    <col min="9985" max="9985" width="12.5" style="15" customWidth="1"/>
    <col min="9986" max="9994" width="13.5" style="15" customWidth="1"/>
    <col min="9995" max="10239" width="9.1640625" style="15"/>
    <col min="10240" max="10240" width="37.5" style="15" customWidth="1"/>
    <col min="10241" max="10241" width="12.5" style="15" customWidth="1"/>
    <col min="10242" max="10250" width="13.5" style="15" customWidth="1"/>
    <col min="10251" max="10495" width="9.1640625" style="15"/>
    <col min="10496" max="10496" width="37.5" style="15" customWidth="1"/>
    <col min="10497" max="10497" width="12.5" style="15" customWidth="1"/>
    <col min="10498" max="10506" width="13.5" style="15" customWidth="1"/>
    <col min="10507" max="10751" width="9.1640625" style="15"/>
    <col min="10752" max="10752" width="37.5" style="15" customWidth="1"/>
    <col min="10753" max="10753" width="12.5" style="15" customWidth="1"/>
    <col min="10754" max="10762" width="13.5" style="15" customWidth="1"/>
    <col min="10763" max="11007" width="9.1640625" style="15"/>
    <col min="11008" max="11008" width="37.5" style="15" customWidth="1"/>
    <col min="11009" max="11009" width="12.5" style="15" customWidth="1"/>
    <col min="11010" max="11018" width="13.5" style="15" customWidth="1"/>
    <col min="11019" max="11263" width="9.1640625" style="15"/>
    <col min="11264" max="11264" width="37.5" style="15" customWidth="1"/>
    <col min="11265" max="11265" width="12.5" style="15" customWidth="1"/>
    <col min="11266" max="11274" width="13.5" style="15" customWidth="1"/>
    <col min="11275" max="11519" width="9.1640625" style="15"/>
    <col min="11520" max="11520" width="37.5" style="15" customWidth="1"/>
    <col min="11521" max="11521" width="12.5" style="15" customWidth="1"/>
    <col min="11522" max="11530" width="13.5" style="15" customWidth="1"/>
    <col min="11531" max="11775" width="9.1640625" style="15"/>
    <col min="11776" max="11776" width="37.5" style="15" customWidth="1"/>
    <col min="11777" max="11777" width="12.5" style="15" customWidth="1"/>
    <col min="11778" max="11786" width="13.5" style="15" customWidth="1"/>
    <col min="11787" max="12031" width="9.1640625" style="15"/>
    <col min="12032" max="12032" width="37.5" style="15" customWidth="1"/>
    <col min="12033" max="12033" width="12.5" style="15" customWidth="1"/>
    <col min="12034" max="12042" width="13.5" style="15" customWidth="1"/>
    <col min="12043" max="12287" width="9.1640625" style="15"/>
    <col min="12288" max="12288" width="37.5" style="15" customWidth="1"/>
    <col min="12289" max="12289" width="12.5" style="15" customWidth="1"/>
    <col min="12290" max="12298" width="13.5" style="15" customWidth="1"/>
    <col min="12299" max="12543" width="9.1640625" style="15"/>
    <col min="12544" max="12544" width="37.5" style="15" customWidth="1"/>
    <col min="12545" max="12545" width="12.5" style="15" customWidth="1"/>
    <col min="12546" max="12554" width="13.5" style="15" customWidth="1"/>
    <col min="12555" max="12799" width="9.1640625" style="15"/>
    <col min="12800" max="12800" width="37.5" style="15" customWidth="1"/>
    <col min="12801" max="12801" width="12.5" style="15" customWidth="1"/>
    <col min="12802" max="12810" width="13.5" style="15" customWidth="1"/>
    <col min="12811" max="13055" width="9.1640625" style="15"/>
    <col min="13056" max="13056" width="37.5" style="15" customWidth="1"/>
    <col min="13057" max="13057" width="12.5" style="15" customWidth="1"/>
    <col min="13058" max="13066" width="13.5" style="15" customWidth="1"/>
    <col min="13067" max="13311" width="9.1640625" style="15"/>
    <col min="13312" max="13312" width="37.5" style="15" customWidth="1"/>
    <col min="13313" max="13313" width="12.5" style="15" customWidth="1"/>
    <col min="13314" max="13322" width="13.5" style="15" customWidth="1"/>
    <col min="13323" max="13567" width="9.1640625" style="15"/>
    <col min="13568" max="13568" width="37.5" style="15" customWidth="1"/>
    <col min="13569" max="13569" width="12.5" style="15" customWidth="1"/>
    <col min="13570" max="13578" width="13.5" style="15" customWidth="1"/>
    <col min="13579" max="13823" width="9.1640625" style="15"/>
    <col min="13824" max="13824" width="37.5" style="15" customWidth="1"/>
    <col min="13825" max="13825" width="12.5" style="15" customWidth="1"/>
    <col min="13826" max="13834" width="13.5" style="15" customWidth="1"/>
    <col min="13835" max="14079" width="9.1640625" style="15"/>
    <col min="14080" max="14080" width="37.5" style="15" customWidth="1"/>
    <col min="14081" max="14081" width="12.5" style="15" customWidth="1"/>
    <col min="14082" max="14090" width="13.5" style="15" customWidth="1"/>
    <col min="14091" max="14335" width="9.1640625" style="15"/>
    <col min="14336" max="14336" width="37.5" style="15" customWidth="1"/>
    <col min="14337" max="14337" width="12.5" style="15" customWidth="1"/>
    <col min="14338" max="14346" width="13.5" style="15" customWidth="1"/>
    <col min="14347" max="14591" width="9.1640625" style="15"/>
    <col min="14592" max="14592" width="37.5" style="15" customWidth="1"/>
    <col min="14593" max="14593" width="12.5" style="15" customWidth="1"/>
    <col min="14594" max="14602" width="13.5" style="15" customWidth="1"/>
    <col min="14603" max="14847" width="9.1640625" style="15"/>
    <col min="14848" max="14848" width="37.5" style="15" customWidth="1"/>
    <col min="14849" max="14849" width="12.5" style="15" customWidth="1"/>
    <col min="14850" max="14858" width="13.5" style="15" customWidth="1"/>
    <col min="14859" max="15103" width="9.1640625" style="15"/>
    <col min="15104" max="15104" width="37.5" style="15" customWidth="1"/>
    <col min="15105" max="15105" width="12.5" style="15" customWidth="1"/>
    <col min="15106" max="15114" width="13.5" style="15" customWidth="1"/>
    <col min="15115" max="15359" width="9.1640625" style="15"/>
    <col min="15360" max="15360" width="37.5" style="15" customWidth="1"/>
    <col min="15361" max="15361" width="12.5" style="15" customWidth="1"/>
    <col min="15362" max="15370" width="13.5" style="15" customWidth="1"/>
    <col min="15371" max="15615" width="9.1640625" style="15"/>
    <col min="15616" max="15616" width="37.5" style="15" customWidth="1"/>
    <col min="15617" max="15617" width="12.5" style="15" customWidth="1"/>
    <col min="15618" max="15626" width="13.5" style="15" customWidth="1"/>
    <col min="15627" max="15871" width="9.1640625" style="15"/>
    <col min="15872" max="15872" width="37.5" style="15" customWidth="1"/>
    <col min="15873" max="15873" width="12.5" style="15" customWidth="1"/>
    <col min="15874" max="15882" width="13.5" style="15" customWidth="1"/>
    <col min="15883" max="16127" width="9.1640625" style="15"/>
    <col min="16128" max="16128" width="37.5" style="15" customWidth="1"/>
    <col min="16129" max="16129" width="12.5" style="15" customWidth="1"/>
    <col min="16130" max="16138" width="13.5" style="15" customWidth="1"/>
    <col min="16139" max="16384" width="9.1640625" style="15"/>
  </cols>
  <sheetData>
    <row r="1" spans="1:12" s="246" customFormat="1" ht="23" x14ac:dyDescent="0.25">
      <c r="A1" s="232" t="str">
        <f>IS!A1</f>
        <v>Colgate-Palmolive Company</v>
      </c>
      <c r="D1" s="281"/>
      <c r="H1" s="256"/>
    </row>
    <row r="2" spans="1:12" s="243" customFormat="1" x14ac:dyDescent="0.15"/>
    <row r="3" spans="1:12" s="243" customFormat="1" ht="20" x14ac:dyDescent="0.2">
      <c r="A3" s="257" t="s">
        <v>189</v>
      </c>
    </row>
    <row r="5" spans="1:12" s="41" customFormat="1" ht="15" thickBot="1" x14ac:dyDescent="0.2">
      <c r="B5" s="43"/>
      <c r="C5" s="42">
        <f>BS!C5</f>
        <v>42735</v>
      </c>
      <c r="D5" s="42">
        <f>BS!D5</f>
        <v>43100</v>
      </c>
      <c r="E5" s="42">
        <f>BS!E5</f>
        <v>43465</v>
      </c>
      <c r="F5" s="42">
        <f>BS!F5</f>
        <v>43830</v>
      </c>
      <c r="G5" s="42">
        <f>BS!G5</f>
        <v>44196</v>
      </c>
      <c r="H5" s="42">
        <f>BS!H5</f>
        <v>44561</v>
      </c>
      <c r="I5" s="42">
        <f>BS!I5</f>
        <v>44926</v>
      </c>
      <c r="J5" s="42">
        <f>BS!J5</f>
        <v>45291</v>
      </c>
      <c r="K5" s="42">
        <f>BS!K5</f>
        <v>45657</v>
      </c>
      <c r="L5" s="42">
        <f>BS!L5</f>
        <v>46022</v>
      </c>
    </row>
    <row r="6" spans="1:12" x14ac:dyDescent="0.15">
      <c r="B6" s="15" t="s">
        <v>136</v>
      </c>
      <c r="C6" s="173"/>
      <c r="D6" s="173"/>
      <c r="E6" s="173"/>
      <c r="F6" s="173"/>
      <c r="G6" s="173"/>
      <c r="H6" s="181">
        <f>G11</f>
        <v>743</v>
      </c>
      <c r="I6" s="181">
        <f ca="1">H11</f>
        <v>842.36473003548895</v>
      </c>
      <c r="J6" s="181">
        <f t="shared" ref="J6:L6" ca="1" si="0">I11</f>
        <v>899.60362837776188</v>
      </c>
      <c r="K6" s="181">
        <f t="shared" ca="1" si="0"/>
        <v>910.33429903190631</v>
      </c>
      <c r="L6" s="181">
        <f t="shared" ca="1" si="0"/>
        <v>869.30838727621085</v>
      </c>
    </row>
    <row r="7" spans="1:12" x14ac:dyDescent="0.15">
      <c r="B7" s="15" t="s">
        <v>137</v>
      </c>
      <c r="C7" s="173"/>
      <c r="D7" s="173"/>
      <c r="E7" s="173"/>
      <c r="F7" s="173"/>
      <c r="G7" s="173"/>
      <c r="H7" s="275">
        <f ca="1">IS!H20</f>
        <v>2738.2612362276514</v>
      </c>
      <c r="I7" s="275">
        <f ca="1">IS!I20</f>
        <v>2876.119579030466</v>
      </c>
      <c r="J7" s="275">
        <f ca="1">IS!J20</f>
        <v>3024.1461104023374</v>
      </c>
      <c r="K7" s="275">
        <f ca="1">IS!K20</f>
        <v>3185.2979920762227</v>
      </c>
      <c r="L7" s="275">
        <f ca="1">IS!L20</f>
        <v>3355.4560098528777</v>
      </c>
    </row>
    <row r="8" spans="1:12" x14ac:dyDescent="0.15">
      <c r="B8" s="15" t="s">
        <v>138</v>
      </c>
      <c r="C8" s="174"/>
      <c r="D8" s="174"/>
      <c r="E8" s="174"/>
      <c r="F8" s="174"/>
      <c r="G8" s="174"/>
      <c r="H8" s="109">
        <f ca="1">-H18</f>
        <v>-1499.9397644555715</v>
      </c>
      <c r="I8" s="109">
        <f t="shared" ref="I8:L8" ca="1" si="1">-I18</f>
        <v>-1597.2089332699138</v>
      </c>
      <c r="J8" s="109">
        <f t="shared" ca="1" si="1"/>
        <v>-1702.9277735067906</v>
      </c>
      <c r="K8" s="109">
        <f t="shared" ca="1" si="1"/>
        <v>-1819.1451085861845</v>
      </c>
      <c r="L8" s="109">
        <f t="shared" ca="1" si="1"/>
        <v>-1943.9282335742844</v>
      </c>
    </row>
    <row r="9" spans="1:12" x14ac:dyDescent="0.15">
      <c r="B9" s="15" t="s">
        <v>139</v>
      </c>
      <c r="C9" s="174"/>
      <c r="D9" s="174"/>
      <c r="E9" s="174"/>
      <c r="F9" s="174"/>
      <c r="G9" s="174"/>
      <c r="H9" s="109">
        <f ca="1">-H30</f>
        <v>-1642.9567417365909</v>
      </c>
      <c r="I9" s="109">
        <f t="shared" ref="I9:L9" ca="1" si="2">-I30</f>
        <v>-1725.6717474182794</v>
      </c>
      <c r="J9" s="109">
        <f t="shared" ca="1" si="2"/>
        <v>-1814.4876662414024</v>
      </c>
      <c r="K9" s="109">
        <f t="shared" ca="1" si="2"/>
        <v>-1911.1787952457335</v>
      </c>
      <c r="L9" s="109">
        <f t="shared" ca="1" si="2"/>
        <v>-2013.2736059117265</v>
      </c>
    </row>
    <row r="10" spans="1:12" x14ac:dyDescent="0.15">
      <c r="B10" s="15" t="s">
        <v>140</v>
      </c>
      <c r="C10" s="174"/>
      <c r="D10" s="174"/>
      <c r="E10" s="174"/>
      <c r="F10" s="174"/>
      <c r="G10" s="174"/>
      <c r="H10" s="109">
        <f>H23</f>
        <v>504</v>
      </c>
      <c r="I10" s="109">
        <f t="shared" ref="I10:L10" si="3">I23</f>
        <v>504</v>
      </c>
      <c r="J10" s="109">
        <f t="shared" si="3"/>
        <v>504</v>
      </c>
      <c r="K10" s="109">
        <f t="shared" si="3"/>
        <v>504</v>
      </c>
      <c r="L10" s="109">
        <f t="shared" si="3"/>
        <v>504</v>
      </c>
    </row>
    <row r="11" spans="1:12" x14ac:dyDescent="0.15">
      <c r="B11" s="15" t="s">
        <v>141</v>
      </c>
      <c r="C11" s="109">
        <f>BS!C44</f>
        <v>-243</v>
      </c>
      <c r="D11" s="109">
        <f>BS!D44</f>
        <v>-60</v>
      </c>
      <c r="E11" s="109">
        <f>BS!E44</f>
        <v>-102</v>
      </c>
      <c r="F11" s="109">
        <f>BS!F44</f>
        <v>117</v>
      </c>
      <c r="G11" s="109">
        <f>BS!G44</f>
        <v>743</v>
      </c>
      <c r="H11" s="308">
        <f ca="1">SUM(H6:H10)</f>
        <v>842.36473003548895</v>
      </c>
      <c r="I11" s="308">
        <f t="shared" ref="I11:L11" ca="1" si="4">SUM(I6:I10)</f>
        <v>899.60362837776188</v>
      </c>
      <c r="J11" s="308">
        <f t="shared" ca="1" si="4"/>
        <v>910.33429903190631</v>
      </c>
      <c r="K11" s="308">
        <f t="shared" ca="1" si="4"/>
        <v>869.30838727621085</v>
      </c>
      <c r="L11" s="308">
        <f t="shared" ca="1" si="4"/>
        <v>771.56255764307798</v>
      </c>
    </row>
    <row r="12" spans="1:12" x14ac:dyDescent="0.15">
      <c r="C12" s="112"/>
      <c r="D12" s="112"/>
      <c r="E12" s="112"/>
      <c r="F12" s="112"/>
      <c r="G12" s="112"/>
      <c r="H12" s="112"/>
      <c r="I12" s="112"/>
      <c r="J12" s="112"/>
      <c r="K12" s="112"/>
      <c r="L12" s="112"/>
    </row>
    <row r="13" spans="1:12" x14ac:dyDescent="0.15">
      <c r="B13" s="52" t="s">
        <v>142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</row>
    <row r="14" spans="1:12" x14ac:dyDescent="0.15">
      <c r="B14" s="15" t="s">
        <v>143</v>
      </c>
      <c r="C14" s="172"/>
      <c r="D14" s="172"/>
      <c r="E14" s="172">
        <f>IS!E22</f>
        <v>2.75</v>
      </c>
      <c r="F14" s="172">
        <f>IS!F22</f>
        <v>2.75</v>
      </c>
      <c r="G14" s="172">
        <f>IS!G22</f>
        <v>3.14</v>
      </c>
      <c r="H14" s="172">
        <f ca="1">IS!H22</f>
        <v>3.2431130042282628</v>
      </c>
      <c r="I14" s="172">
        <f ca="1">IS!I22</f>
        <v>3.4534247205835977</v>
      </c>
      <c r="J14" s="172">
        <f ca="1">IS!J22</f>
        <v>3.6820059967714389</v>
      </c>
      <c r="K14" s="172">
        <f ca="1">IS!K22</f>
        <v>3.9332867212674261</v>
      </c>
      <c r="L14" s="172">
        <f ca="1">IS!L22</f>
        <v>4.2030880725930473</v>
      </c>
    </row>
    <row r="15" spans="1:12" x14ac:dyDescent="0.15">
      <c r="B15" s="15" t="s">
        <v>144</v>
      </c>
      <c r="C15" s="183"/>
      <c r="D15" s="183"/>
      <c r="E15" s="183">
        <f t="shared" ref="E15:F15" si="5">E16/E14</f>
        <v>23.962542520024364</v>
      </c>
      <c r="F15" s="183">
        <f t="shared" si="5"/>
        <v>25.383275046653647</v>
      </c>
      <c r="G15" s="183">
        <f>G16/G14</f>
        <v>25.134618778882697</v>
      </c>
      <c r="H15" s="184">
        <v>25</v>
      </c>
      <c r="I15" s="184">
        <v>25</v>
      </c>
      <c r="J15" s="184">
        <v>25</v>
      </c>
      <c r="K15" s="184">
        <v>25</v>
      </c>
      <c r="L15" s="184">
        <v>25</v>
      </c>
    </row>
    <row r="16" spans="1:12" x14ac:dyDescent="0.15">
      <c r="B16" s="15" t="s">
        <v>218</v>
      </c>
      <c r="C16" s="7"/>
      <c r="D16" s="7"/>
      <c r="E16" s="272">
        <f>E18/E17</f>
        <v>65.896991930067003</v>
      </c>
      <c r="F16" s="272">
        <f t="shared" ref="F16:L16" si="6">F18/F17</f>
        <v>69.80400637829753</v>
      </c>
      <c r="G16" s="272">
        <f t="shared" si="6"/>
        <v>78.92270296569167</v>
      </c>
      <c r="H16" s="272">
        <f ca="1">H14*H15</f>
        <v>81.077825105706566</v>
      </c>
      <c r="I16" s="272">
        <f t="shared" ref="I16:L16" ca="1" si="7">I14*I15</f>
        <v>86.33561801458994</v>
      </c>
      <c r="J16" s="272">
        <f t="shared" ca="1" si="7"/>
        <v>92.050149919285971</v>
      </c>
      <c r="K16" s="272">
        <f t="shared" ca="1" si="7"/>
        <v>98.332168031685654</v>
      </c>
      <c r="L16" s="272">
        <f t="shared" ca="1" si="7"/>
        <v>105.07720181482618</v>
      </c>
    </row>
    <row r="17" spans="2:12" x14ac:dyDescent="0.15">
      <c r="B17" s="15" t="s">
        <v>278</v>
      </c>
      <c r="C17" s="182"/>
      <c r="D17" s="182"/>
      <c r="E17" s="271">
        <v>18.786897</v>
      </c>
      <c r="F17" s="271">
        <v>17.219642</v>
      </c>
      <c r="G17" s="271">
        <v>18.701843</v>
      </c>
      <c r="H17" s="263">
        <v>18.5</v>
      </c>
      <c r="I17" s="263">
        <v>18.5</v>
      </c>
      <c r="J17" s="263">
        <v>18.5</v>
      </c>
      <c r="K17" s="263">
        <v>18.5</v>
      </c>
      <c r="L17" s="263">
        <v>18.5</v>
      </c>
    </row>
    <row r="18" spans="2:12" x14ac:dyDescent="0.15">
      <c r="B18" s="15" t="s">
        <v>145</v>
      </c>
      <c r="C18" s="179"/>
      <c r="D18" s="179"/>
      <c r="E18" s="179">
        <f>ABS(CF!E40)</f>
        <v>1238</v>
      </c>
      <c r="F18" s="179">
        <f>ABS(CF!F40)</f>
        <v>1202</v>
      </c>
      <c r="G18" s="179">
        <f>ABS(CF!G40)</f>
        <v>1476</v>
      </c>
      <c r="H18" s="179">
        <f ca="1">H17*H16</f>
        <v>1499.9397644555715</v>
      </c>
      <c r="I18" s="179">
        <f t="shared" ref="I18:L18" ca="1" si="8">I17*I16</f>
        <v>1597.2089332699138</v>
      </c>
      <c r="J18" s="179">
        <f t="shared" ca="1" si="8"/>
        <v>1702.9277735067906</v>
      </c>
      <c r="K18" s="179">
        <f t="shared" ca="1" si="8"/>
        <v>1819.1451085861845</v>
      </c>
      <c r="L18" s="179">
        <f t="shared" ca="1" si="8"/>
        <v>1943.9282335742844</v>
      </c>
    </row>
    <row r="19" spans="2:12" x14ac:dyDescent="0.15">
      <c r="C19" s="112"/>
      <c r="D19" s="112"/>
      <c r="E19" s="112"/>
      <c r="F19" s="177"/>
      <c r="G19" s="177"/>
      <c r="H19" s="177"/>
      <c r="I19" s="177"/>
      <c r="J19" s="177"/>
      <c r="K19" s="177"/>
      <c r="L19" s="177"/>
    </row>
    <row r="20" spans="2:12" x14ac:dyDescent="0.15">
      <c r="B20" s="52" t="s">
        <v>146</v>
      </c>
      <c r="C20" s="112"/>
      <c r="D20" s="112"/>
      <c r="E20" s="112"/>
      <c r="F20" s="177"/>
      <c r="G20" s="177"/>
      <c r="H20" s="177"/>
      <c r="I20" s="177"/>
      <c r="J20" s="177"/>
      <c r="K20" s="177"/>
      <c r="L20" s="177"/>
    </row>
    <row r="21" spans="2:12" x14ac:dyDescent="0.15">
      <c r="B21" s="15" t="s">
        <v>147</v>
      </c>
      <c r="C21" s="180"/>
      <c r="D21" s="180"/>
      <c r="E21" s="223">
        <v>6.0409199999999998</v>
      </c>
      <c r="F21" s="224">
        <v>8.1457770000000007</v>
      </c>
      <c r="G21" s="170">
        <v>13.018354</v>
      </c>
      <c r="H21" s="150">
        <v>7</v>
      </c>
      <c r="I21" s="150">
        <v>7</v>
      </c>
      <c r="J21" s="150">
        <v>7</v>
      </c>
      <c r="K21" s="150">
        <v>7</v>
      </c>
      <c r="L21" s="150">
        <v>7</v>
      </c>
    </row>
    <row r="22" spans="2:12" x14ac:dyDescent="0.15">
      <c r="B22" s="15" t="s">
        <v>148</v>
      </c>
      <c r="C22" s="175"/>
      <c r="D22" s="175"/>
      <c r="E22" s="273">
        <f>E23/E21</f>
        <v>54.461903153824252</v>
      </c>
      <c r="F22" s="273">
        <f t="shared" ref="F22:G22" si="9">F23/F21</f>
        <v>61.135972664117858</v>
      </c>
      <c r="G22" s="273">
        <f t="shared" si="9"/>
        <v>67.135983550608628</v>
      </c>
      <c r="H22" s="274">
        <v>72</v>
      </c>
      <c r="I22" s="274">
        <v>72</v>
      </c>
      <c r="J22" s="274">
        <v>72</v>
      </c>
      <c r="K22" s="274">
        <v>72</v>
      </c>
      <c r="L22" s="274">
        <v>72</v>
      </c>
    </row>
    <row r="23" spans="2:12" x14ac:dyDescent="0.15">
      <c r="B23" s="15" t="s">
        <v>140</v>
      </c>
      <c r="C23" s="178"/>
      <c r="D23" s="178"/>
      <c r="E23" s="225">
        <f>CF!E41</f>
        <v>329</v>
      </c>
      <c r="F23" s="225">
        <f>CF!F41</f>
        <v>498</v>
      </c>
      <c r="G23" s="225">
        <f>CF!G41</f>
        <v>874</v>
      </c>
      <c r="H23" s="273">
        <f>H21*H22</f>
        <v>504</v>
      </c>
      <c r="I23" s="273">
        <f t="shared" ref="I23:L23" si="10">I21*I22</f>
        <v>504</v>
      </c>
      <c r="J23" s="273">
        <f t="shared" si="10"/>
        <v>504</v>
      </c>
      <c r="K23" s="273">
        <f t="shared" si="10"/>
        <v>504</v>
      </c>
      <c r="L23" s="273">
        <f t="shared" si="10"/>
        <v>504</v>
      </c>
    </row>
    <row r="24" spans="2:12" x14ac:dyDescent="0.15">
      <c r="C24" s="112"/>
      <c r="D24" s="112"/>
      <c r="E24" s="112"/>
      <c r="F24" s="177"/>
      <c r="G24" s="177"/>
      <c r="H24" s="177"/>
      <c r="I24" s="177"/>
      <c r="J24" s="177"/>
      <c r="K24" s="177"/>
      <c r="L24" s="177"/>
    </row>
    <row r="25" spans="2:12" x14ac:dyDescent="0.15">
      <c r="B25" s="15" t="s">
        <v>209</v>
      </c>
      <c r="C25" s="112"/>
      <c r="D25" s="112"/>
      <c r="E25" s="263">
        <v>0.95765100000000003</v>
      </c>
      <c r="F25" s="263">
        <v>0.86285199999999995</v>
      </c>
      <c r="G25" s="264">
        <v>0.87531099999999995</v>
      </c>
      <c r="H25" s="185">
        <f>8.65/3</f>
        <v>2.8833333333333333</v>
      </c>
      <c r="I25" s="185">
        <f>8.65/3</f>
        <v>2.8833333333333333</v>
      </c>
      <c r="J25" s="185">
        <f>8.65/3</f>
        <v>2.8833333333333333</v>
      </c>
      <c r="K25" s="185">
        <f>8.65/3</f>
        <v>2.8833333333333333</v>
      </c>
      <c r="L25" s="185">
        <f>8.65/3</f>
        <v>2.8833333333333333</v>
      </c>
    </row>
    <row r="26" spans="2:12" x14ac:dyDescent="0.15">
      <c r="C26" s="112"/>
      <c r="D26" s="112"/>
      <c r="E26" s="112"/>
      <c r="F26" s="112"/>
      <c r="G26" s="112"/>
      <c r="H26" s="112"/>
      <c r="I26" s="112"/>
      <c r="J26" s="112"/>
      <c r="K26" s="112"/>
      <c r="L26" s="112"/>
    </row>
    <row r="27" spans="2:12" s="186" customFormat="1" hidden="1" x14ac:dyDescent="0.15">
      <c r="C27" s="187"/>
      <c r="D27" s="187"/>
      <c r="E27" s="187"/>
      <c r="F27" s="187"/>
      <c r="G27" s="187"/>
      <c r="H27" s="187"/>
      <c r="I27" s="187"/>
      <c r="J27" s="187"/>
      <c r="K27" s="187"/>
      <c r="L27" s="187"/>
    </row>
    <row r="28" spans="2:12" s="186" customFormat="1" hidden="1" x14ac:dyDescent="0.15">
      <c r="C28" s="187"/>
      <c r="D28" s="187"/>
      <c r="E28" s="187"/>
      <c r="F28" s="187"/>
      <c r="G28" s="187"/>
      <c r="H28" s="187"/>
      <c r="I28" s="187"/>
      <c r="J28" s="187"/>
      <c r="K28" s="187"/>
      <c r="L28" s="187"/>
    </row>
    <row r="29" spans="2:12" x14ac:dyDescent="0.15">
      <c r="B29" s="52" t="s">
        <v>149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</row>
    <row r="30" spans="2:12" x14ac:dyDescent="0.15">
      <c r="B30" s="15" t="s">
        <v>150</v>
      </c>
      <c r="C30" s="176"/>
      <c r="D30" s="176"/>
      <c r="E30" s="265">
        <f>ABS(CF!E39)</f>
        <v>1591</v>
      </c>
      <c r="F30" s="265">
        <f>ABS(CF!F39)</f>
        <v>1614</v>
      </c>
      <c r="G30" s="265">
        <f>ABS(CF!G39)</f>
        <v>1654</v>
      </c>
      <c r="H30" s="220">
        <f ca="1">H31*H32</f>
        <v>1642.9567417365909</v>
      </c>
      <c r="I30" s="220">
        <f t="shared" ref="I30:L30" ca="1" si="11">I31*I32</f>
        <v>1725.6717474182794</v>
      </c>
      <c r="J30" s="220">
        <f t="shared" ca="1" si="11"/>
        <v>1814.4876662414024</v>
      </c>
      <c r="K30" s="220">
        <f t="shared" ca="1" si="11"/>
        <v>1911.1787952457335</v>
      </c>
      <c r="L30" s="220">
        <f t="shared" ca="1" si="11"/>
        <v>2013.2736059117265</v>
      </c>
    </row>
    <row r="31" spans="2:12" x14ac:dyDescent="0.15">
      <c r="B31" s="15" t="s">
        <v>137</v>
      </c>
      <c r="C31" s="109"/>
      <c r="D31" s="109"/>
      <c r="E31" s="109">
        <f>IS!E20</f>
        <v>2400</v>
      </c>
      <c r="F31" s="109">
        <f>IS!F20</f>
        <v>2367</v>
      </c>
      <c r="G31" s="109">
        <f>IS!G20</f>
        <v>2695</v>
      </c>
      <c r="H31" s="109">
        <f ca="1">IS!H20</f>
        <v>2738.2612362276514</v>
      </c>
      <c r="I31" s="109">
        <f ca="1">IS!I20</f>
        <v>2876.119579030466</v>
      </c>
      <c r="J31" s="109">
        <f ca="1">IS!J20</f>
        <v>3024.1461104023374</v>
      </c>
      <c r="K31" s="109">
        <f ca="1">IS!K20</f>
        <v>3185.2979920762227</v>
      </c>
      <c r="L31" s="109">
        <f ca="1">IS!L20</f>
        <v>3355.4560098528777</v>
      </c>
    </row>
    <row r="32" spans="2:12" x14ac:dyDescent="0.15">
      <c r="B32" s="15" t="s">
        <v>151</v>
      </c>
      <c r="C32" s="112"/>
      <c r="D32" s="112"/>
      <c r="E32" s="100">
        <f t="shared" ref="E32:F32" si="12">E30/E31</f>
        <v>0.66291666666666671</v>
      </c>
      <c r="F32" s="100">
        <f t="shared" si="12"/>
        <v>0.68187579214195182</v>
      </c>
      <c r="G32" s="100">
        <f>G30/G31</f>
        <v>0.61372912801484225</v>
      </c>
      <c r="H32" s="137">
        <v>0.6</v>
      </c>
      <c r="I32" s="137">
        <v>0.6</v>
      </c>
      <c r="J32" s="137">
        <v>0.6</v>
      </c>
      <c r="K32" s="137">
        <v>0.6</v>
      </c>
      <c r="L32" s="137">
        <v>0.6</v>
      </c>
    </row>
    <row r="34" spans="5:5" x14ac:dyDescent="0.15">
      <c r="E34" s="15" t="s">
        <v>152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"/>
  <sheetViews>
    <sheetView showGridLines="0" zoomScale="150" zoomScaleNormal="15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9" sqref="D9"/>
    </sheetView>
  </sheetViews>
  <sheetFormatPr baseColWidth="10" defaultColWidth="8.83203125" defaultRowHeight="15" x14ac:dyDescent="0.2"/>
  <cols>
    <col min="1" max="1" width="3" customWidth="1"/>
    <col min="2" max="2" width="41.33203125" customWidth="1"/>
    <col min="3" max="5" width="9.1640625" customWidth="1"/>
    <col min="6" max="6" width="10.5" customWidth="1"/>
    <col min="7" max="10" width="10" bestFit="1" customWidth="1"/>
    <col min="11" max="255" width="9.1640625"/>
    <col min="256" max="256" width="37.5" customWidth="1"/>
    <col min="257" max="511" width="9.1640625"/>
    <col min="512" max="512" width="37.5" customWidth="1"/>
    <col min="513" max="767" width="9.1640625"/>
    <col min="768" max="768" width="37.5" customWidth="1"/>
    <col min="769" max="1023" width="9.1640625"/>
    <col min="1024" max="1024" width="37.5" customWidth="1"/>
    <col min="1025" max="1279" width="9.1640625"/>
    <col min="1280" max="1280" width="37.5" customWidth="1"/>
    <col min="1281" max="1535" width="9.1640625"/>
    <col min="1536" max="1536" width="37.5" customWidth="1"/>
    <col min="1537" max="1791" width="9.1640625"/>
    <col min="1792" max="1792" width="37.5" customWidth="1"/>
    <col min="1793" max="2047" width="9.1640625"/>
    <col min="2048" max="2048" width="37.5" customWidth="1"/>
    <col min="2049" max="2303" width="9.1640625"/>
    <col min="2304" max="2304" width="37.5" customWidth="1"/>
    <col min="2305" max="2559" width="9.1640625"/>
    <col min="2560" max="2560" width="37.5" customWidth="1"/>
    <col min="2561" max="2815" width="9.1640625"/>
    <col min="2816" max="2816" width="37.5" customWidth="1"/>
    <col min="2817" max="3071" width="9.1640625"/>
    <col min="3072" max="3072" width="37.5" customWidth="1"/>
    <col min="3073" max="3327" width="9.1640625"/>
    <col min="3328" max="3328" width="37.5" customWidth="1"/>
    <col min="3329" max="3583" width="9.1640625"/>
    <col min="3584" max="3584" width="37.5" customWidth="1"/>
    <col min="3585" max="3839" width="9.1640625"/>
    <col min="3840" max="3840" width="37.5" customWidth="1"/>
    <col min="3841" max="4095" width="9.1640625"/>
    <col min="4096" max="4096" width="37.5" customWidth="1"/>
    <col min="4097" max="4351" width="9.1640625"/>
    <col min="4352" max="4352" width="37.5" customWidth="1"/>
    <col min="4353" max="4607" width="9.1640625"/>
    <col min="4608" max="4608" width="37.5" customWidth="1"/>
    <col min="4609" max="4863" width="9.1640625"/>
    <col min="4864" max="4864" width="37.5" customWidth="1"/>
    <col min="4865" max="5119" width="9.1640625"/>
    <col min="5120" max="5120" width="37.5" customWidth="1"/>
    <col min="5121" max="5375" width="9.1640625"/>
    <col min="5376" max="5376" width="37.5" customWidth="1"/>
    <col min="5377" max="5631" width="9.1640625"/>
    <col min="5632" max="5632" width="37.5" customWidth="1"/>
    <col min="5633" max="5887" width="9.1640625"/>
    <col min="5888" max="5888" width="37.5" customWidth="1"/>
    <col min="5889" max="6143" width="9.1640625"/>
    <col min="6144" max="6144" width="37.5" customWidth="1"/>
    <col min="6145" max="6399" width="9.1640625"/>
    <col min="6400" max="6400" width="37.5" customWidth="1"/>
    <col min="6401" max="6655" width="9.1640625"/>
    <col min="6656" max="6656" width="37.5" customWidth="1"/>
    <col min="6657" max="6911" width="9.1640625"/>
    <col min="6912" max="6912" width="37.5" customWidth="1"/>
    <col min="6913" max="7167" width="9.1640625"/>
    <col min="7168" max="7168" width="37.5" customWidth="1"/>
    <col min="7169" max="7423" width="9.1640625"/>
    <col min="7424" max="7424" width="37.5" customWidth="1"/>
    <col min="7425" max="7679" width="9.1640625"/>
    <col min="7680" max="7680" width="37.5" customWidth="1"/>
    <col min="7681" max="7935" width="9.1640625"/>
    <col min="7936" max="7936" width="37.5" customWidth="1"/>
    <col min="7937" max="8191" width="9.1640625"/>
    <col min="8192" max="8192" width="37.5" customWidth="1"/>
    <col min="8193" max="8447" width="9.1640625"/>
    <col min="8448" max="8448" width="37.5" customWidth="1"/>
    <col min="8449" max="8703" width="9.1640625"/>
    <col min="8704" max="8704" width="37.5" customWidth="1"/>
    <col min="8705" max="8959" width="9.1640625"/>
    <col min="8960" max="8960" width="37.5" customWidth="1"/>
    <col min="8961" max="9215" width="9.1640625"/>
    <col min="9216" max="9216" width="37.5" customWidth="1"/>
    <col min="9217" max="9471" width="9.1640625"/>
    <col min="9472" max="9472" width="37.5" customWidth="1"/>
    <col min="9473" max="9727" width="9.1640625"/>
    <col min="9728" max="9728" width="37.5" customWidth="1"/>
    <col min="9729" max="9983" width="9.1640625"/>
    <col min="9984" max="9984" width="37.5" customWidth="1"/>
    <col min="9985" max="10239" width="9.1640625"/>
    <col min="10240" max="10240" width="37.5" customWidth="1"/>
    <col min="10241" max="10495" width="9.1640625"/>
    <col min="10496" max="10496" width="37.5" customWidth="1"/>
    <col min="10497" max="10751" width="9.1640625"/>
    <col min="10752" max="10752" width="37.5" customWidth="1"/>
    <col min="10753" max="11007" width="9.1640625"/>
    <col min="11008" max="11008" width="37.5" customWidth="1"/>
    <col min="11009" max="11263" width="9.1640625"/>
    <col min="11264" max="11264" width="37.5" customWidth="1"/>
    <col min="11265" max="11519" width="9.1640625"/>
    <col min="11520" max="11520" width="37.5" customWidth="1"/>
    <col min="11521" max="11775" width="9.1640625"/>
    <col min="11776" max="11776" width="37.5" customWidth="1"/>
    <col min="11777" max="12031" width="9.1640625"/>
    <col min="12032" max="12032" width="37.5" customWidth="1"/>
    <col min="12033" max="12287" width="9.1640625"/>
    <col min="12288" max="12288" width="37.5" customWidth="1"/>
    <col min="12289" max="12543" width="9.1640625"/>
    <col min="12544" max="12544" width="37.5" customWidth="1"/>
    <col min="12545" max="12799" width="9.1640625"/>
    <col min="12800" max="12800" width="37.5" customWidth="1"/>
    <col min="12801" max="13055" width="9.1640625"/>
    <col min="13056" max="13056" width="37.5" customWidth="1"/>
    <col min="13057" max="13311" width="9.1640625"/>
    <col min="13312" max="13312" width="37.5" customWidth="1"/>
    <col min="13313" max="13567" width="9.1640625"/>
    <col min="13568" max="13568" width="37.5" customWidth="1"/>
    <col min="13569" max="13823" width="9.1640625"/>
    <col min="13824" max="13824" width="37.5" customWidth="1"/>
    <col min="13825" max="14079" width="9.1640625"/>
    <col min="14080" max="14080" width="37.5" customWidth="1"/>
    <col min="14081" max="14335" width="9.1640625"/>
    <col min="14336" max="14336" width="37.5" customWidth="1"/>
    <col min="14337" max="14591" width="9.1640625"/>
    <col min="14592" max="14592" width="37.5" customWidth="1"/>
    <col min="14593" max="14847" width="9.1640625"/>
    <col min="14848" max="14848" width="37.5" customWidth="1"/>
    <col min="14849" max="15103" width="9.1640625"/>
    <col min="15104" max="15104" width="37.5" customWidth="1"/>
    <col min="15105" max="15359" width="9.1640625"/>
    <col min="15360" max="15360" width="37.5" customWidth="1"/>
    <col min="15361" max="15615" width="9.1640625"/>
    <col min="15616" max="15616" width="37.5" customWidth="1"/>
    <col min="15617" max="15871" width="9.1640625"/>
    <col min="15872" max="15872" width="37.5" customWidth="1"/>
    <col min="15873" max="16127" width="9.1640625"/>
    <col min="16128" max="16128" width="37.5" customWidth="1"/>
    <col min="16129" max="16384" width="9.1640625"/>
  </cols>
  <sheetData>
    <row r="1" spans="1:12" s="246" customFormat="1" ht="23" x14ac:dyDescent="0.25">
      <c r="A1" s="232" t="str">
        <f>IS!A1</f>
        <v>Colgate-Palmolive Company</v>
      </c>
      <c r="D1" s="281"/>
      <c r="H1" s="256"/>
    </row>
    <row r="2" spans="1:12" s="243" customFormat="1" ht="14" x14ac:dyDescent="0.15"/>
    <row r="3" spans="1:12" s="243" customFormat="1" ht="20" x14ac:dyDescent="0.2">
      <c r="A3" s="257" t="s">
        <v>190</v>
      </c>
    </row>
    <row r="4" spans="1:12" s="15" customFormat="1" ht="14" x14ac:dyDescent="0.15"/>
    <row r="5" spans="1:12" s="41" customFormat="1" thickBot="1" x14ac:dyDescent="0.2">
      <c r="B5" s="43"/>
      <c r="C5" s="42">
        <f>BS!C5</f>
        <v>42735</v>
      </c>
      <c r="D5" s="42">
        <f>BS!D5</f>
        <v>43100</v>
      </c>
      <c r="E5" s="42">
        <f>BS!E5</f>
        <v>43465</v>
      </c>
      <c r="F5" s="42">
        <f>BS!F5</f>
        <v>43830</v>
      </c>
      <c r="G5" s="42">
        <f>BS!G5</f>
        <v>44196</v>
      </c>
      <c r="H5" s="42">
        <f>BS!H5</f>
        <v>44561</v>
      </c>
      <c r="I5" s="42">
        <f>BS!I5</f>
        <v>44926</v>
      </c>
      <c r="J5" s="42">
        <f>BS!J5</f>
        <v>45291</v>
      </c>
      <c r="K5" s="42">
        <f>BS!K5</f>
        <v>45657</v>
      </c>
      <c r="L5" s="42">
        <f>BS!L5</f>
        <v>46022</v>
      </c>
    </row>
    <row r="6" spans="1:12" x14ac:dyDescent="0.2">
      <c r="B6" s="15" t="s">
        <v>153</v>
      </c>
      <c r="C6" s="258"/>
      <c r="D6" s="92"/>
      <c r="E6" s="92">
        <f>D9</f>
        <v>874.70111799999995</v>
      </c>
      <c r="F6" s="92">
        <f>E9</f>
        <v>861.95514100000003</v>
      </c>
      <c r="G6" s="92">
        <f>F9</f>
        <v>852.88127599999996</v>
      </c>
      <c r="H6" s="92">
        <f t="shared" ref="H6:L6" si="0">G9</f>
        <v>847.19778699999995</v>
      </c>
      <c r="I6" s="92">
        <f t="shared" si="0"/>
        <v>835.69778699999995</v>
      </c>
      <c r="J6" s="92">
        <f t="shared" si="0"/>
        <v>824.19778699999995</v>
      </c>
      <c r="K6" s="92">
        <f t="shared" si="0"/>
        <v>812.69778699999995</v>
      </c>
      <c r="L6" s="92">
        <f t="shared" si="0"/>
        <v>801.19778699999995</v>
      </c>
    </row>
    <row r="7" spans="1:12" x14ac:dyDescent="0.2">
      <c r="B7" s="15" t="s">
        <v>210</v>
      </c>
      <c r="C7" s="259"/>
      <c r="D7" s="162"/>
      <c r="E7" s="276">
        <f>'Shareholders Equity'!E21</f>
        <v>6.0409199999999998</v>
      </c>
      <c r="F7" s="276">
        <f>'Shareholders Equity'!F21</f>
        <v>8.1457770000000007</v>
      </c>
      <c r="G7" s="276">
        <f>'Shareholders Equity'!G21</f>
        <v>13.018354</v>
      </c>
      <c r="H7" s="276">
        <f>'Shareholders Equity'!H21</f>
        <v>7</v>
      </c>
      <c r="I7" s="276">
        <f>'Shareholders Equity'!I21</f>
        <v>7</v>
      </c>
      <c r="J7" s="276">
        <f>'Shareholders Equity'!J21</f>
        <v>7</v>
      </c>
      <c r="K7" s="276">
        <f>'Shareholders Equity'!K21</f>
        <v>7</v>
      </c>
      <c r="L7" s="276">
        <f>'Shareholders Equity'!L21</f>
        <v>7</v>
      </c>
    </row>
    <row r="8" spans="1:12" x14ac:dyDescent="0.2">
      <c r="B8" s="15" t="s">
        <v>154</v>
      </c>
      <c r="C8" s="258"/>
      <c r="D8" s="92"/>
      <c r="E8" s="227">
        <f>-'Shareholders Equity'!E17</f>
        <v>-18.786897</v>
      </c>
      <c r="F8" s="227">
        <f>-'Shareholders Equity'!F17</f>
        <v>-17.219642</v>
      </c>
      <c r="G8" s="227">
        <f>-'Shareholders Equity'!G17</f>
        <v>-18.701843</v>
      </c>
      <c r="H8" s="227">
        <f>-'Shareholders Equity'!H17</f>
        <v>-18.5</v>
      </c>
      <c r="I8" s="227">
        <f>-'Shareholders Equity'!I17</f>
        <v>-18.5</v>
      </c>
      <c r="J8" s="227">
        <f>-'Shareholders Equity'!J17</f>
        <v>-18.5</v>
      </c>
      <c r="K8" s="227">
        <f>-'Shareholders Equity'!K17</f>
        <v>-18.5</v>
      </c>
      <c r="L8" s="227">
        <f>-'Shareholders Equity'!L17</f>
        <v>-18.5</v>
      </c>
    </row>
    <row r="9" spans="1:12" x14ac:dyDescent="0.2">
      <c r="B9" s="188" t="s">
        <v>155</v>
      </c>
      <c r="C9" s="260"/>
      <c r="D9" s="189">
        <v>874.70111799999995</v>
      </c>
      <c r="E9" s="226">
        <f>SUM(E6:E8)</f>
        <v>861.95514100000003</v>
      </c>
      <c r="F9" s="226">
        <f t="shared" ref="F9:L9" si="1">SUM(F6:F8)</f>
        <v>852.88127599999996</v>
      </c>
      <c r="G9" s="226">
        <f t="shared" si="1"/>
        <v>847.19778699999995</v>
      </c>
      <c r="H9" s="226">
        <f t="shared" si="1"/>
        <v>835.69778699999995</v>
      </c>
      <c r="I9" s="226">
        <f t="shared" si="1"/>
        <v>824.19778699999995</v>
      </c>
      <c r="J9" s="226">
        <f t="shared" si="1"/>
        <v>812.69778699999995</v>
      </c>
      <c r="K9" s="226">
        <f t="shared" si="1"/>
        <v>801.19778699999995</v>
      </c>
      <c r="L9" s="226">
        <f t="shared" si="1"/>
        <v>789.69778699999995</v>
      </c>
    </row>
    <row r="10" spans="1:12" x14ac:dyDescent="0.2">
      <c r="B10" s="15"/>
      <c r="C10" s="57"/>
      <c r="D10" s="92"/>
      <c r="E10" s="92"/>
      <c r="F10" s="57"/>
      <c r="G10" s="57"/>
      <c r="H10" s="57"/>
      <c r="I10" s="57"/>
      <c r="J10" s="92"/>
      <c r="K10" s="92"/>
      <c r="L10" s="92"/>
    </row>
    <row r="11" spans="1:12" x14ac:dyDescent="0.2">
      <c r="B11" s="15" t="s">
        <v>156</v>
      </c>
      <c r="C11" s="98"/>
      <c r="D11" s="163"/>
      <c r="E11" s="150">
        <v>870.6</v>
      </c>
      <c r="F11" s="170">
        <v>859.1</v>
      </c>
      <c r="G11" s="170">
        <v>856.8</v>
      </c>
      <c r="H11" s="98">
        <f>AVERAGE(G9:H9)</f>
        <v>841.44778699999995</v>
      </c>
      <c r="I11" s="98">
        <f t="shared" ref="I11:L11" si="2">AVERAGE(H9:I9)</f>
        <v>829.94778699999995</v>
      </c>
      <c r="J11" s="98">
        <f t="shared" si="2"/>
        <v>818.44778699999995</v>
      </c>
      <c r="K11" s="98">
        <f t="shared" si="2"/>
        <v>806.94778699999995</v>
      </c>
      <c r="L11" s="98">
        <f t="shared" si="2"/>
        <v>795.44778699999995</v>
      </c>
    </row>
    <row r="12" spans="1:12" x14ac:dyDescent="0.2">
      <c r="B12" s="15" t="s">
        <v>279</v>
      </c>
      <c r="C12" s="94"/>
      <c r="D12" s="164"/>
      <c r="E12" s="150">
        <v>2.4</v>
      </c>
      <c r="F12" s="170">
        <v>2</v>
      </c>
      <c r="G12" s="170">
        <v>2.5</v>
      </c>
      <c r="H12" s="228">
        <f>'Shareholders Equity'!H25</f>
        <v>2.8833333333333333</v>
      </c>
      <c r="I12" s="228">
        <f>'Shareholders Equity'!I25</f>
        <v>2.8833333333333333</v>
      </c>
      <c r="J12" s="228">
        <f>'Shareholders Equity'!J25</f>
        <v>2.8833333333333333</v>
      </c>
      <c r="K12" s="228">
        <f>'Shareholders Equity'!K25</f>
        <v>2.8833333333333333</v>
      </c>
      <c r="L12" s="228">
        <f>'Shareholders Equity'!L25</f>
        <v>2.8833333333333333</v>
      </c>
    </row>
    <row r="13" spans="1:12" ht="16" thickBot="1" x14ac:dyDescent="0.25">
      <c r="B13" s="67" t="s">
        <v>157</v>
      </c>
      <c r="C13" s="190"/>
      <c r="D13" s="191"/>
      <c r="E13" s="191">
        <f t="shared" ref="E13:G13" si="3">SUM(E11:E12)</f>
        <v>873</v>
      </c>
      <c r="F13" s="191">
        <f t="shared" si="3"/>
        <v>861.1</v>
      </c>
      <c r="G13" s="191">
        <f t="shared" si="3"/>
        <v>859.3</v>
      </c>
      <c r="H13" s="191">
        <f>SUM(H11:H12)</f>
        <v>844.33112033333327</v>
      </c>
      <c r="I13" s="191">
        <f t="shared" ref="I13:L13" si="4">SUM(I11:I12)</f>
        <v>832.83112033333327</v>
      </c>
      <c r="J13" s="191">
        <f t="shared" si="4"/>
        <v>821.33112033333327</v>
      </c>
      <c r="K13" s="191">
        <f t="shared" si="4"/>
        <v>809.83112033333327</v>
      </c>
      <c r="L13" s="191">
        <f t="shared" si="4"/>
        <v>798.33112033333327</v>
      </c>
    </row>
    <row r="14" spans="1:12" ht="16" thickTop="1" x14ac:dyDescent="0.2"/>
  </sheetData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7"/>
  <sheetViews>
    <sheetView showGridLines="0" tabSelected="1" zoomScale="150" zoomScaleNormal="150" workbookViewId="0">
      <pane xSplit="2" ySplit="5" topLeftCell="C6" activePane="bottomRight" state="frozen"/>
      <selection activeCell="A3" sqref="A3"/>
      <selection pane="topRight" activeCell="C3" sqref="C3"/>
      <selection pane="bottomLeft" activeCell="A6" sqref="A6"/>
      <selection pane="bottomRight" activeCell="H45" sqref="H45"/>
    </sheetView>
  </sheetViews>
  <sheetFormatPr baseColWidth="10" defaultColWidth="8.83203125" defaultRowHeight="15" x14ac:dyDescent="0.2"/>
  <cols>
    <col min="1" max="1" width="2.83203125" customWidth="1"/>
    <col min="2" max="2" width="41.33203125" bestFit="1" customWidth="1"/>
    <col min="3" max="5" width="9.1640625" customWidth="1"/>
    <col min="6" max="7" width="9.1640625"/>
    <col min="8" max="9" width="10" bestFit="1" customWidth="1"/>
    <col min="10" max="12" width="10.33203125" bestFit="1" customWidth="1"/>
    <col min="13" max="255" width="9.1640625"/>
    <col min="256" max="256" width="41.33203125" bestFit="1" customWidth="1"/>
    <col min="257" max="258" width="9.1640625"/>
    <col min="259" max="259" width="7.6640625" bestFit="1" customWidth="1"/>
    <col min="260" max="260" width="13.1640625" customWidth="1"/>
    <col min="261" max="511" width="9.1640625"/>
    <col min="512" max="512" width="41.33203125" bestFit="1" customWidth="1"/>
    <col min="513" max="514" width="9.1640625"/>
    <col min="515" max="515" width="7.6640625" bestFit="1" customWidth="1"/>
    <col min="516" max="516" width="13.1640625" customWidth="1"/>
    <col min="517" max="767" width="9.1640625"/>
    <col min="768" max="768" width="41.33203125" bestFit="1" customWidth="1"/>
    <col min="769" max="770" width="9.1640625"/>
    <col min="771" max="771" width="7.6640625" bestFit="1" customWidth="1"/>
    <col min="772" max="772" width="13.1640625" customWidth="1"/>
    <col min="773" max="1023" width="9.1640625"/>
    <col min="1024" max="1024" width="41.33203125" bestFit="1" customWidth="1"/>
    <col min="1025" max="1026" width="9.1640625"/>
    <col min="1027" max="1027" width="7.6640625" bestFit="1" customWidth="1"/>
    <col min="1028" max="1028" width="13.1640625" customWidth="1"/>
    <col min="1029" max="1279" width="9.1640625"/>
    <col min="1280" max="1280" width="41.33203125" bestFit="1" customWidth="1"/>
    <col min="1281" max="1282" width="9.1640625"/>
    <col min="1283" max="1283" width="7.6640625" bestFit="1" customWidth="1"/>
    <col min="1284" max="1284" width="13.1640625" customWidth="1"/>
    <col min="1285" max="1535" width="9.1640625"/>
    <col min="1536" max="1536" width="41.33203125" bestFit="1" customWidth="1"/>
    <col min="1537" max="1538" width="9.1640625"/>
    <col min="1539" max="1539" width="7.6640625" bestFit="1" customWidth="1"/>
    <col min="1540" max="1540" width="13.1640625" customWidth="1"/>
    <col min="1541" max="1791" width="9.1640625"/>
    <col min="1792" max="1792" width="41.33203125" bestFit="1" customWidth="1"/>
    <col min="1793" max="1794" width="9.1640625"/>
    <col min="1795" max="1795" width="7.6640625" bestFit="1" customWidth="1"/>
    <col min="1796" max="1796" width="13.1640625" customWidth="1"/>
    <col min="1797" max="2047" width="9.1640625"/>
    <col min="2048" max="2048" width="41.33203125" bestFit="1" customWidth="1"/>
    <col min="2049" max="2050" width="9.1640625"/>
    <col min="2051" max="2051" width="7.6640625" bestFit="1" customWidth="1"/>
    <col min="2052" max="2052" width="13.1640625" customWidth="1"/>
    <col min="2053" max="2303" width="9.1640625"/>
    <col min="2304" max="2304" width="41.33203125" bestFit="1" customWidth="1"/>
    <col min="2305" max="2306" width="9.1640625"/>
    <col min="2307" max="2307" width="7.6640625" bestFit="1" customWidth="1"/>
    <col min="2308" max="2308" width="13.1640625" customWidth="1"/>
    <col min="2309" max="2559" width="9.1640625"/>
    <col min="2560" max="2560" width="41.33203125" bestFit="1" customWidth="1"/>
    <col min="2561" max="2562" width="9.1640625"/>
    <col min="2563" max="2563" width="7.6640625" bestFit="1" customWidth="1"/>
    <col min="2564" max="2564" width="13.1640625" customWidth="1"/>
    <col min="2565" max="2815" width="9.1640625"/>
    <col min="2816" max="2816" width="41.33203125" bestFit="1" customWidth="1"/>
    <col min="2817" max="2818" width="9.1640625"/>
    <col min="2819" max="2819" width="7.6640625" bestFit="1" customWidth="1"/>
    <col min="2820" max="2820" width="13.1640625" customWidth="1"/>
    <col min="2821" max="3071" width="9.1640625"/>
    <col min="3072" max="3072" width="41.33203125" bestFit="1" customWidth="1"/>
    <col min="3073" max="3074" width="9.1640625"/>
    <col min="3075" max="3075" width="7.6640625" bestFit="1" customWidth="1"/>
    <col min="3076" max="3076" width="13.1640625" customWidth="1"/>
    <col min="3077" max="3327" width="9.1640625"/>
    <col min="3328" max="3328" width="41.33203125" bestFit="1" customWidth="1"/>
    <col min="3329" max="3330" width="9.1640625"/>
    <col min="3331" max="3331" width="7.6640625" bestFit="1" customWidth="1"/>
    <col min="3332" max="3332" width="13.1640625" customWidth="1"/>
    <col min="3333" max="3583" width="9.1640625"/>
    <col min="3584" max="3584" width="41.33203125" bestFit="1" customWidth="1"/>
    <col min="3585" max="3586" width="9.1640625"/>
    <col min="3587" max="3587" width="7.6640625" bestFit="1" customWidth="1"/>
    <col min="3588" max="3588" width="13.1640625" customWidth="1"/>
    <col min="3589" max="3839" width="9.1640625"/>
    <col min="3840" max="3840" width="41.33203125" bestFit="1" customWidth="1"/>
    <col min="3841" max="3842" width="9.1640625"/>
    <col min="3843" max="3843" width="7.6640625" bestFit="1" customWidth="1"/>
    <col min="3844" max="3844" width="13.1640625" customWidth="1"/>
    <col min="3845" max="4095" width="9.1640625"/>
    <col min="4096" max="4096" width="41.33203125" bestFit="1" customWidth="1"/>
    <col min="4097" max="4098" width="9.1640625"/>
    <col min="4099" max="4099" width="7.6640625" bestFit="1" customWidth="1"/>
    <col min="4100" max="4100" width="13.1640625" customWidth="1"/>
    <col min="4101" max="4351" width="9.1640625"/>
    <col min="4352" max="4352" width="41.33203125" bestFit="1" customWidth="1"/>
    <col min="4353" max="4354" width="9.1640625"/>
    <col min="4355" max="4355" width="7.6640625" bestFit="1" customWidth="1"/>
    <col min="4356" max="4356" width="13.1640625" customWidth="1"/>
    <col min="4357" max="4607" width="9.1640625"/>
    <col min="4608" max="4608" width="41.33203125" bestFit="1" customWidth="1"/>
    <col min="4609" max="4610" width="9.1640625"/>
    <col min="4611" max="4611" width="7.6640625" bestFit="1" customWidth="1"/>
    <col min="4612" max="4612" width="13.1640625" customWidth="1"/>
    <col min="4613" max="4863" width="9.1640625"/>
    <col min="4864" max="4864" width="41.33203125" bestFit="1" customWidth="1"/>
    <col min="4865" max="4866" width="9.1640625"/>
    <col min="4867" max="4867" width="7.6640625" bestFit="1" customWidth="1"/>
    <col min="4868" max="4868" width="13.1640625" customWidth="1"/>
    <col min="4869" max="5119" width="9.1640625"/>
    <col min="5120" max="5120" width="41.33203125" bestFit="1" customWidth="1"/>
    <col min="5121" max="5122" width="9.1640625"/>
    <col min="5123" max="5123" width="7.6640625" bestFit="1" customWidth="1"/>
    <col min="5124" max="5124" width="13.1640625" customWidth="1"/>
    <col min="5125" max="5375" width="9.1640625"/>
    <col min="5376" max="5376" width="41.33203125" bestFit="1" customWidth="1"/>
    <col min="5377" max="5378" width="9.1640625"/>
    <col min="5379" max="5379" width="7.6640625" bestFit="1" customWidth="1"/>
    <col min="5380" max="5380" width="13.1640625" customWidth="1"/>
    <col min="5381" max="5631" width="9.1640625"/>
    <col min="5632" max="5632" width="41.33203125" bestFit="1" customWidth="1"/>
    <col min="5633" max="5634" width="9.1640625"/>
    <col min="5635" max="5635" width="7.6640625" bestFit="1" customWidth="1"/>
    <col min="5636" max="5636" width="13.1640625" customWidth="1"/>
    <col min="5637" max="5887" width="9.1640625"/>
    <col min="5888" max="5888" width="41.33203125" bestFit="1" customWidth="1"/>
    <col min="5889" max="5890" width="9.1640625"/>
    <col min="5891" max="5891" width="7.6640625" bestFit="1" customWidth="1"/>
    <col min="5892" max="5892" width="13.1640625" customWidth="1"/>
    <col min="5893" max="6143" width="9.1640625"/>
    <col min="6144" max="6144" width="41.33203125" bestFit="1" customWidth="1"/>
    <col min="6145" max="6146" width="9.1640625"/>
    <col min="6147" max="6147" width="7.6640625" bestFit="1" customWidth="1"/>
    <col min="6148" max="6148" width="13.1640625" customWidth="1"/>
    <col min="6149" max="6399" width="9.1640625"/>
    <col min="6400" max="6400" width="41.33203125" bestFit="1" customWidth="1"/>
    <col min="6401" max="6402" width="9.1640625"/>
    <col min="6403" max="6403" width="7.6640625" bestFit="1" customWidth="1"/>
    <col min="6404" max="6404" width="13.1640625" customWidth="1"/>
    <col min="6405" max="6655" width="9.1640625"/>
    <col min="6656" max="6656" width="41.33203125" bestFit="1" customWidth="1"/>
    <col min="6657" max="6658" width="9.1640625"/>
    <col min="6659" max="6659" width="7.6640625" bestFit="1" customWidth="1"/>
    <col min="6660" max="6660" width="13.1640625" customWidth="1"/>
    <col min="6661" max="6911" width="9.1640625"/>
    <col min="6912" max="6912" width="41.33203125" bestFit="1" customWidth="1"/>
    <col min="6913" max="6914" width="9.1640625"/>
    <col min="6915" max="6915" width="7.6640625" bestFit="1" customWidth="1"/>
    <col min="6916" max="6916" width="13.1640625" customWidth="1"/>
    <col min="6917" max="7167" width="9.1640625"/>
    <col min="7168" max="7168" width="41.33203125" bestFit="1" customWidth="1"/>
    <col min="7169" max="7170" width="9.1640625"/>
    <col min="7171" max="7171" width="7.6640625" bestFit="1" customWidth="1"/>
    <col min="7172" max="7172" width="13.1640625" customWidth="1"/>
    <col min="7173" max="7423" width="9.1640625"/>
    <col min="7424" max="7424" width="41.33203125" bestFit="1" customWidth="1"/>
    <col min="7425" max="7426" width="9.1640625"/>
    <col min="7427" max="7427" width="7.6640625" bestFit="1" customWidth="1"/>
    <col min="7428" max="7428" width="13.1640625" customWidth="1"/>
    <col min="7429" max="7679" width="9.1640625"/>
    <col min="7680" max="7680" width="41.33203125" bestFit="1" customWidth="1"/>
    <col min="7681" max="7682" width="9.1640625"/>
    <col min="7683" max="7683" width="7.6640625" bestFit="1" customWidth="1"/>
    <col min="7684" max="7684" width="13.1640625" customWidth="1"/>
    <col min="7685" max="7935" width="9.1640625"/>
    <col min="7936" max="7936" width="41.33203125" bestFit="1" customWidth="1"/>
    <col min="7937" max="7938" width="9.1640625"/>
    <col min="7939" max="7939" width="7.6640625" bestFit="1" customWidth="1"/>
    <col min="7940" max="7940" width="13.1640625" customWidth="1"/>
    <col min="7941" max="8191" width="9.1640625"/>
    <col min="8192" max="8192" width="41.33203125" bestFit="1" customWidth="1"/>
    <col min="8193" max="8194" width="9.1640625"/>
    <col min="8195" max="8195" width="7.6640625" bestFit="1" customWidth="1"/>
    <col min="8196" max="8196" width="13.1640625" customWidth="1"/>
    <col min="8197" max="8447" width="9.1640625"/>
    <col min="8448" max="8448" width="41.33203125" bestFit="1" customWidth="1"/>
    <col min="8449" max="8450" width="9.1640625"/>
    <col min="8451" max="8451" width="7.6640625" bestFit="1" customWidth="1"/>
    <col min="8452" max="8452" width="13.1640625" customWidth="1"/>
    <col min="8453" max="8703" width="9.1640625"/>
    <col min="8704" max="8704" width="41.33203125" bestFit="1" customWidth="1"/>
    <col min="8705" max="8706" width="9.1640625"/>
    <col min="8707" max="8707" width="7.6640625" bestFit="1" customWidth="1"/>
    <col min="8708" max="8708" width="13.1640625" customWidth="1"/>
    <col min="8709" max="8959" width="9.1640625"/>
    <col min="8960" max="8960" width="41.33203125" bestFit="1" customWidth="1"/>
    <col min="8961" max="8962" width="9.1640625"/>
    <col min="8963" max="8963" width="7.6640625" bestFit="1" customWidth="1"/>
    <col min="8964" max="8964" width="13.1640625" customWidth="1"/>
    <col min="8965" max="9215" width="9.1640625"/>
    <col min="9216" max="9216" width="41.33203125" bestFit="1" customWidth="1"/>
    <col min="9217" max="9218" width="9.1640625"/>
    <col min="9219" max="9219" width="7.6640625" bestFit="1" customWidth="1"/>
    <col min="9220" max="9220" width="13.1640625" customWidth="1"/>
    <col min="9221" max="9471" width="9.1640625"/>
    <col min="9472" max="9472" width="41.33203125" bestFit="1" customWidth="1"/>
    <col min="9473" max="9474" width="9.1640625"/>
    <col min="9475" max="9475" width="7.6640625" bestFit="1" customWidth="1"/>
    <col min="9476" max="9476" width="13.1640625" customWidth="1"/>
    <col min="9477" max="9727" width="9.1640625"/>
    <col min="9728" max="9728" width="41.33203125" bestFit="1" customWidth="1"/>
    <col min="9729" max="9730" width="9.1640625"/>
    <col min="9731" max="9731" width="7.6640625" bestFit="1" customWidth="1"/>
    <col min="9732" max="9732" width="13.1640625" customWidth="1"/>
    <col min="9733" max="9983" width="9.1640625"/>
    <col min="9984" max="9984" width="41.33203125" bestFit="1" customWidth="1"/>
    <col min="9985" max="9986" width="9.1640625"/>
    <col min="9987" max="9987" width="7.6640625" bestFit="1" customWidth="1"/>
    <col min="9988" max="9988" width="13.1640625" customWidth="1"/>
    <col min="9989" max="10239" width="9.1640625"/>
    <col min="10240" max="10240" width="41.33203125" bestFit="1" customWidth="1"/>
    <col min="10241" max="10242" width="9.1640625"/>
    <col min="10243" max="10243" width="7.6640625" bestFit="1" customWidth="1"/>
    <col min="10244" max="10244" width="13.1640625" customWidth="1"/>
    <col min="10245" max="10495" width="9.1640625"/>
    <col min="10496" max="10496" width="41.33203125" bestFit="1" customWidth="1"/>
    <col min="10497" max="10498" width="9.1640625"/>
    <col min="10499" max="10499" width="7.6640625" bestFit="1" customWidth="1"/>
    <col min="10500" max="10500" width="13.1640625" customWidth="1"/>
    <col min="10501" max="10751" width="9.1640625"/>
    <col min="10752" max="10752" width="41.33203125" bestFit="1" customWidth="1"/>
    <col min="10753" max="10754" width="9.1640625"/>
    <col min="10755" max="10755" width="7.6640625" bestFit="1" customWidth="1"/>
    <col min="10756" max="10756" width="13.1640625" customWidth="1"/>
    <col min="10757" max="11007" width="9.1640625"/>
    <col min="11008" max="11008" width="41.33203125" bestFit="1" customWidth="1"/>
    <col min="11009" max="11010" width="9.1640625"/>
    <col min="11011" max="11011" width="7.6640625" bestFit="1" customWidth="1"/>
    <col min="11012" max="11012" width="13.1640625" customWidth="1"/>
    <col min="11013" max="11263" width="9.1640625"/>
    <col min="11264" max="11264" width="41.33203125" bestFit="1" customWidth="1"/>
    <col min="11265" max="11266" width="9.1640625"/>
    <col min="11267" max="11267" width="7.6640625" bestFit="1" customWidth="1"/>
    <col min="11268" max="11268" width="13.1640625" customWidth="1"/>
    <col min="11269" max="11519" width="9.1640625"/>
    <col min="11520" max="11520" width="41.33203125" bestFit="1" customWidth="1"/>
    <col min="11521" max="11522" width="9.1640625"/>
    <col min="11523" max="11523" width="7.6640625" bestFit="1" customWidth="1"/>
    <col min="11524" max="11524" width="13.1640625" customWidth="1"/>
    <col min="11525" max="11775" width="9.1640625"/>
    <col min="11776" max="11776" width="41.33203125" bestFit="1" customWidth="1"/>
    <col min="11777" max="11778" width="9.1640625"/>
    <col min="11779" max="11779" width="7.6640625" bestFit="1" customWidth="1"/>
    <col min="11780" max="11780" width="13.1640625" customWidth="1"/>
    <col min="11781" max="12031" width="9.1640625"/>
    <col min="12032" max="12032" width="41.33203125" bestFit="1" customWidth="1"/>
    <col min="12033" max="12034" width="9.1640625"/>
    <col min="12035" max="12035" width="7.6640625" bestFit="1" customWidth="1"/>
    <col min="12036" max="12036" width="13.1640625" customWidth="1"/>
    <col min="12037" max="12287" width="9.1640625"/>
    <col min="12288" max="12288" width="41.33203125" bestFit="1" customWidth="1"/>
    <col min="12289" max="12290" width="9.1640625"/>
    <col min="12291" max="12291" width="7.6640625" bestFit="1" customWidth="1"/>
    <col min="12292" max="12292" width="13.1640625" customWidth="1"/>
    <col min="12293" max="12543" width="9.1640625"/>
    <col min="12544" max="12544" width="41.33203125" bestFit="1" customWidth="1"/>
    <col min="12545" max="12546" width="9.1640625"/>
    <col min="12547" max="12547" width="7.6640625" bestFit="1" customWidth="1"/>
    <col min="12548" max="12548" width="13.1640625" customWidth="1"/>
    <col min="12549" max="12799" width="9.1640625"/>
    <col min="12800" max="12800" width="41.33203125" bestFit="1" customWidth="1"/>
    <col min="12801" max="12802" width="9.1640625"/>
    <col min="12803" max="12803" width="7.6640625" bestFit="1" customWidth="1"/>
    <col min="12804" max="12804" width="13.1640625" customWidth="1"/>
    <col min="12805" max="13055" width="9.1640625"/>
    <col min="13056" max="13056" width="41.33203125" bestFit="1" customWidth="1"/>
    <col min="13057" max="13058" width="9.1640625"/>
    <col min="13059" max="13059" width="7.6640625" bestFit="1" customWidth="1"/>
    <col min="13060" max="13060" width="13.1640625" customWidth="1"/>
    <col min="13061" max="13311" width="9.1640625"/>
    <col min="13312" max="13312" width="41.33203125" bestFit="1" customWidth="1"/>
    <col min="13313" max="13314" width="9.1640625"/>
    <col min="13315" max="13315" width="7.6640625" bestFit="1" customWidth="1"/>
    <col min="13316" max="13316" width="13.1640625" customWidth="1"/>
    <col min="13317" max="13567" width="9.1640625"/>
    <col min="13568" max="13568" width="41.33203125" bestFit="1" customWidth="1"/>
    <col min="13569" max="13570" width="9.1640625"/>
    <col min="13571" max="13571" width="7.6640625" bestFit="1" customWidth="1"/>
    <col min="13572" max="13572" width="13.1640625" customWidth="1"/>
    <col min="13573" max="13823" width="9.1640625"/>
    <col min="13824" max="13824" width="41.33203125" bestFit="1" customWidth="1"/>
    <col min="13825" max="13826" width="9.1640625"/>
    <col min="13827" max="13827" width="7.6640625" bestFit="1" customWidth="1"/>
    <col min="13828" max="13828" width="13.1640625" customWidth="1"/>
    <col min="13829" max="14079" width="9.1640625"/>
    <col min="14080" max="14080" width="41.33203125" bestFit="1" customWidth="1"/>
    <col min="14081" max="14082" width="9.1640625"/>
    <col min="14083" max="14083" width="7.6640625" bestFit="1" customWidth="1"/>
    <col min="14084" max="14084" width="13.1640625" customWidth="1"/>
    <col min="14085" max="14335" width="9.1640625"/>
    <col min="14336" max="14336" width="41.33203125" bestFit="1" customWidth="1"/>
    <col min="14337" max="14338" width="9.1640625"/>
    <col min="14339" max="14339" width="7.6640625" bestFit="1" customWidth="1"/>
    <col min="14340" max="14340" width="13.1640625" customWidth="1"/>
    <col min="14341" max="14591" width="9.1640625"/>
    <col min="14592" max="14592" width="41.33203125" bestFit="1" customWidth="1"/>
    <col min="14593" max="14594" width="9.1640625"/>
    <col min="14595" max="14595" width="7.6640625" bestFit="1" customWidth="1"/>
    <col min="14596" max="14596" width="13.1640625" customWidth="1"/>
    <col min="14597" max="14847" width="9.1640625"/>
    <col min="14848" max="14848" width="41.33203125" bestFit="1" customWidth="1"/>
    <col min="14849" max="14850" width="9.1640625"/>
    <col min="14851" max="14851" width="7.6640625" bestFit="1" customWidth="1"/>
    <col min="14852" max="14852" width="13.1640625" customWidth="1"/>
    <col min="14853" max="15103" width="9.1640625"/>
    <col min="15104" max="15104" width="41.33203125" bestFit="1" customWidth="1"/>
    <col min="15105" max="15106" width="9.1640625"/>
    <col min="15107" max="15107" width="7.6640625" bestFit="1" customWidth="1"/>
    <col min="15108" max="15108" width="13.1640625" customWidth="1"/>
    <col min="15109" max="15359" width="9.1640625"/>
    <col min="15360" max="15360" width="41.33203125" bestFit="1" customWidth="1"/>
    <col min="15361" max="15362" width="9.1640625"/>
    <col min="15363" max="15363" width="7.6640625" bestFit="1" customWidth="1"/>
    <col min="15364" max="15364" width="13.1640625" customWidth="1"/>
    <col min="15365" max="15615" width="9.1640625"/>
    <col min="15616" max="15616" width="41.33203125" bestFit="1" customWidth="1"/>
    <col min="15617" max="15618" width="9.1640625"/>
    <col min="15619" max="15619" width="7.6640625" bestFit="1" customWidth="1"/>
    <col min="15620" max="15620" width="13.1640625" customWidth="1"/>
    <col min="15621" max="15871" width="9.1640625"/>
    <col min="15872" max="15872" width="41.33203125" bestFit="1" customWidth="1"/>
    <col min="15873" max="15874" width="9.1640625"/>
    <col min="15875" max="15875" width="7.6640625" bestFit="1" customWidth="1"/>
    <col min="15876" max="15876" width="13.1640625" customWidth="1"/>
    <col min="15877" max="16127" width="9.1640625"/>
    <col min="16128" max="16128" width="41.33203125" bestFit="1" customWidth="1"/>
    <col min="16129" max="16130" width="9.1640625"/>
    <col min="16131" max="16131" width="7.6640625" bestFit="1" customWidth="1"/>
    <col min="16132" max="16132" width="13.1640625" customWidth="1"/>
    <col min="16133" max="16384" width="9.1640625"/>
  </cols>
  <sheetData>
    <row r="1" spans="1:12" s="246" customFormat="1" ht="23" x14ac:dyDescent="0.25">
      <c r="A1" s="232" t="str">
        <f>IS!A1</f>
        <v>Colgate-Palmolive Company</v>
      </c>
      <c r="D1" s="281"/>
      <c r="H1" s="256"/>
    </row>
    <row r="2" spans="1:12" s="243" customFormat="1" ht="14" x14ac:dyDescent="0.15"/>
    <row r="3" spans="1:12" s="243" customFormat="1" ht="20" x14ac:dyDescent="0.2">
      <c r="A3" s="257" t="s">
        <v>158</v>
      </c>
    </row>
    <row r="4" spans="1:12" s="243" customFormat="1" ht="14" x14ac:dyDescent="0.15"/>
    <row r="5" spans="1:12" s="41" customFormat="1" thickBot="1" x14ac:dyDescent="0.2">
      <c r="B5" s="43"/>
      <c r="C5" s="42">
        <f>BS!C5</f>
        <v>42735</v>
      </c>
      <c r="D5" s="42">
        <f>BS!D5</f>
        <v>43100</v>
      </c>
      <c r="E5" s="42">
        <f>BS!E5</f>
        <v>43465</v>
      </c>
      <c r="F5" s="42">
        <f>BS!F5</f>
        <v>43830</v>
      </c>
      <c r="G5" s="42">
        <f>BS!G5</f>
        <v>44196</v>
      </c>
      <c r="H5" s="42">
        <f>BS!H5</f>
        <v>44561</v>
      </c>
      <c r="I5" s="42">
        <f>BS!I5</f>
        <v>44926</v>
      </c>
      <c r="J5" s="42">
        <f>BS!J5</f>
        <v>45291</v>
      </c>
      <c r="K5" s="42">
        <f>BS!K5</f>
        <v>45657</v>
      </c>
      <c r="L5" s="42">
        <f>BS!L5</f>
        <v>46022</v>
      </c>
    </row>
    <row r="6" spans="1:12" x14ac:dyDescent="0.2">
      <c r="B6" s="15" t="s">
        <v>159</v>
      </c>
      <c r="C6" s="101"/>
      <c r="D6" s="101"/>
      <c r="E6" s="101"/>
      <c r="F6" s="101"/>
      <c r="G6" s="101"/>
      <c r="H6" s="102">
        <f ca="1">CF!H32</f>
        <v>2021.4279809423676</v>
      </c>
      <c r="I6" s="102">
        <f ca="1">CF!I32</f>
        <v>3248.7069988194216</v>
      </c>
      <c r="J6" s="102">
        <f ca="1">CF!J32</f>
        <v>2339.0218878341848</v>
      </c>
      <c r="K6" s="102">
        <f ca="1">CF!K32</f>
        <v>3875.5989271616145</v>
      </c>
      <c r="L6" s="102">
        <f ca="1">CF!L32</f>
        <v>2340.1945434283871</v>
      </c>
    </row>
    <row r="7" spans="1:12" x14ac:dyDescent="0.2">
      <c r="B7" s="15" t="s">
        <v>160</v>
      </c>
      <c r="C7" s="95"/>
      <c r="D7" s="95"/>
      <c r="E7" s="95"/>
      <c r="F7" s="95"/>
      <c r="G7" s="95"/>
      <c r="H7" s="96">
        <f ca="1">-'Shareholders Equity'!H18</f>
        <v>-1499.9397644555715</v>
      </c>
      <c r="I7" s="96">
        <f ca="1">-'Shareholders Equity'!I18</f>
        <v>-1597.2089332699138</v>
      </c>
      <c r="J7" s="96">
        <f ca="1">-'Shareholders Equity'!J18</f>
        <v>-1702.9277735067906</v>
      </c>
      <c r="K7" s="96">
        <f ca="1">-'Shareholders Equity'!K18</f>
        <v>-1819.1451085861845</v>
      </c>
      <c r="L7" s="96">
        <f ca="1">-'Shareholders Equity'!L18</f>
        <v>-1943.9282335742844</v>
      </c>
    </row>
    <row r="8" spans="1:12" x14ac:dyDescent="0.2">
      <c r="B8" s="15" t="s">
        <v>161</v>
      </c>
      <c r="C8" s="97"/>
      <c r="D8" s="97"/>
      <c r="E8" s="97"/>
      <c r="F8" s="97"/>
      <c r="G8" s="97"/>
      <c r="H8" s="96">
        <f ca="1">-'Shareholders Equity'!H30</f>
        <v>-1642.9567417365909</v>
      </c>
      <c r="I8" s="96">
        <f ca="1">-'Shareholders Equity'!I30</f>
        <v>-1725.6717474182794</v>
      </c>
      <c r="J8" s="96">
        <f ca="1">-'Shareholders Equity'!J30</f>
        <v>-1814.4876662414024</v>
      </c>
      <c r="K8" s="96">
        <f ca="1">-'Shareholders Equity'!K30</f>
        <v>-1911.1787952457335</v>
      </c>
      <c r="L8" s="96">
        <f ca="1">-'Shareholders Equity'!L30</f>
        <v>-2013.2736059117265</v>
      </c>
    </row>
    <row r="9" spans="1:12" x14ac:dyDescent="0.2">
      <c r="B9" s="15" t="s">
        <v>140</v>
      </c>
      <c r="C9" s="97"/>
      <c r="D9" s="97"/>
      <c r="E9" s="97"/>
      <c r="F9" s="97"/>
      <c r="G9" s="97"/>
      <c r="H9" s="96">
        <f>'Shareholders Equity'!H23</f>
        <v>504</v>
      </c>
      <c r="I9" s="96">
        <f>'Shareholders Equity'!I23</f>
        <v>504</v>
      </c>
      <c r="J9" s="96">
        <f>'Shareholders Equity'!J23</f>
        <v>504</v>
      </c>
      <c r="K9" s="96">
        <f>'Shareholders Equity'!K23</f>
        <v>504</v>
      </c>
      <c r="L9" s="96">
        <f>'Shareholders Equity'!L23</f>
        <v>504</v>
      </c>
    </row>
    <row r="10" spans="1:12" x14ac:dyDescent="0.2">
      <c r="B10" s="103" t="s">
        <v>162</v>
      </c>
      <c r="C10" s="97"/>
      <c r="D10" s="97"/>
      <c r="E10" s="97"/>
      <c r="F10" s="97"/>
      <c r="G10" s="97"/>
      <c r="H10" s="96">
        <f>BS!G8</f>
        <v>888</v>
      </c>
      <c r="I10" s="96">
        <v>500</v>
      </c>
      <c r="J10" s="96">
        <v>500</v>
      </c>
      <c r="K10" s="96">
        <v>500</v>
      </c>
      <c r="L10" s="96">
        <v>500</v>
      </c>
    </row>
    <row r="11" spans="1:12" x14ac:dyDescent="0.2">
      <c r="B11" s="103" t="s">
        <v>163</v>
      </c>
      <c r="C11" s="97"/>
      <c r="D11" s="97"/>
      <c r="E11" s="97"/>
      <c r="F11" s="97"/>
      <c r="G11" s="97"/>
      <c r="H11" s="170">
        <v>-500</v>
      </c>
      <c r="I11" s="170">
        <v>-500</v>
      </c>
      <c r="J11" s="170">
        <v>-500</v>
      </c>
      <c r="K11" s="170">
        <v>-500</v>
      </c>
      <c r="L11" s="170">
        <v>-500</v>
      </c>
    </row>
    <row r="12" spans="1:12" x14ac:dyDescent="0.2">
      <c r="B12" s="15" t="s">
        <v>164</v>
      </c>
      <c r="C12" s="97"/>
      <c r="D12" s="97"/>
      <c r="E12" s="97"/>
      <c r="F12" s="97"/>
      <c r="G12" s="97"/>
      <c r="H12" s="104">
        <f t="shared" ref="H12:K12" ca="1" si="0">SUM(H6:H11)</f>
        <v>-229.46852524979477</v>
      </c>
      <c r="I12" s="104">
        <f t="shared" ca="1" si="0"/>
        <v>429.82631813122839</v>
      </c>
      <c r="J12" s="104">
        <f t="shared" ca="1" si="0"/>
        <v>-674.39355191400819</v>
      </c>
      <c r="K12" s="104">
        <f t="shared" ca="1" si="0"/>
        <v>649.27502332969652</v>
      </c>
      <c r="L12" s="104">
        <f ca="1">SUM(L6:L11)</f>
        <v>-1113.0072960576238</v>
      </c>
    </row>
    <row r="13" spans="1:12" x14ac:dyDescent="0.2">
      <c r="B13" s="15" t="s">
        <v>165</v>
      </c>
      <c r="C13" s="97"/>
      <c r="D13" s="97"/>
      <c r="E13" s="97"/>
      <c r="F13" s="97"/>
      <c r="G13" s="97"/>
      <c r="H13" s="57">
        <f t="shared" ref="H13:L13" si="1">H24</f>
        <v>0</v>
      </c>
      <c r="I13" s="57">
        <f t="shared" si="1"/>
        <v>0</v>
      </c>
      <c r="J13" s="57">
        <f t="shared" si="1"/>
        <v>0</v>
      </c>
      <c r="K13" s="57">
        <f t="shared" si="1"/>
        <v>0</v>
      </c>
      <c r="L13" s="57">
        <f>L24</f>
        <v>0</v>
      </c>
    </row>
    <row r="14" spans="1:12" x14ac:dyDescent="0.2">
      <c r="B14" s="15" t="s">
        <v>166</v>
      </c>
      <c r="C14" s="97"/>
      <c r="D14" s="97"/>
      <c r="E14" s="97"/>
      <c r="F14" s="97"/>
      <c r="G14" s="97"/>
      <c r="H14" s="57">
        <f>H25</f>
        <v>-631</v>
      </c>
      <c r="I14" s="57">
        <f t="shared" ref="I14:L14" si="2">I25</f>
        <v>-413</v>
      </c>
      <c r="J14" s="57">
        <f t="shared" si="2"/>
        <v>-896</v>
      </c>
      <c r="K14" s="57">
        <f t="shared" si="2"/>
        <v>-498</v>
      </c>
      <c r="L14" s="57">
        <f t="shared" si="2"/>
        <v>-130</v>
      </c>
    </row>
    <row r="15" spans="1:12" x14ac:dyDescent="0.2">
      <c r="B15" s="16" t="s">
        <v>167</v>
      </c>
      <c r="C15" s="92"/>
      <c r="D15" s="92"/>
      <c r="E15" s="92"/>
      <c r="F15" s="104"/>
      <c r="G15" s="104"/>
      <c r="H15" s="104">
        <f ca="1">SUM(H12:H14)</f>
        <v>-860.46852524979477</v>
      </c>
      <c r="I15" s="104">
        <f t="shared" ref="I15:L15" ca="1" si="3">SUM(I12:I14)</f>
        <v>16.82631813122839</v>
      </c>
      <c r="J15" s="104">
        <f t="shared" ca="1" si="3"/>
        <v>-1570.3935519140082</v>
      </c>
      <c r="K15" s="104">
        <f t="shared" ca="1" si="3"/>
        <v>151.27502332969652</v>
      </c>
      <c r="L15" s="104">
        <f t="shared" ca="1" si="3"/>
        <v>-1243.0072960576238</v>
      </c>
    </row>
    <row r="16" spans="1:12" x14ac:dyDescent="0.2">
      <c r="B16" s="15"/>
      <c r="C16" s="57"/>
      <c r="D16" s="57"/>
      <c r="E16" s="57"/>
      <c r="F16" s="57"/>
      <c r="G16" s="57"/>
      <c r="H16" s="57"/>
      <c r="I16" s="57"/>
      <c r="J16" s="57"/>
      <c r="K16" s="57"/>
      <c r="L16" s="57"/>
    </row>
    <row r="17" spans="2:13" x14ac:dyDescent="0.2">
      <c r="B17" s="52" t="s">
        <v>168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spans="2:13" x14ac:dyDescent="0.2">
      <c r="B18" s="15" t="s">
        <v>169</v>
      </c>
      <c r="C18" s="57"/>
      <c r="D18" s="57"/>
      <c r="E18" s="57"/>
      <c r="F18" s="57"/>
      <c r="G18" s="57"/>
      <c r="H18" s="57">
        <f>G20</f>
        <v>0</v>
      </c>
      <c r="I18" s="57">
        <f ca="1">H19</f>
        <v>860.46852524979477</v>
      </c>
      <c r="J18" s="57">
        <f ca="1">I20</f>
        <v>843.64220711856638</v>
      </c>
      <c r="K18" s="57">
        <f t="shared" ref="K18:L18" ca="1" si="4">J20</f>
        <v>2414.0357590325748</v>
      </c>
      <c r="L18" s="57">
        <f t="shared" ca="1" si="4"/>
        <v>2414.0357590325748</v>
      </c>
      <c r="M18" s="57"/>
    </row>
    <row r="19" spans="2:13" x14ac:dyDescent="0.2">
      <c r="B19" s="15" t="s">
        <v>170</v>
      </c>
      <c r="C19" s="57"/>
      <c r="D19" s="57"/>
      <c r="E19" s="57"/>
      <c r="F19" s="57"/>
      <c r="G19" s="57"/>
      <c r="H19" s="57">
        <f ca="1">IF(H15&lt;0,-H15,-MIN(H15,H18))</f>
        <v>860.46852524979477</v>
      </c>
      <c r="I19" s="57">
        <f t="shared" ref="I19:L19" ca="1" si="5">IF(I15&lt;0,-I15,-MIN(I15,I18))</f>
        <v>-16.82631813122839</v>
      </c>
      <c r="J19" s="57">
        <f t="shared" ca="1" si="5"/>
        <v>1570.3935519140082</v>
      </c>
      <c r="K19" s="57">
        <v>0</v>
      </c>
      <c r="L19" s="57">
        <f t="shared" ca="1" si="5"/>
        <v>1243.0072960576238</v>
      </c>
      <c r="M19" s="57"/>
    </row>
    <row r="20" spans="2:13" x14ac:dyDescent="0.2">
      <c r="B20" s="15" t="s">
        <v>171</v>
      </c>
      <c r="C20" s="94"/>
      <c r="D20" s="94"/>
      <c r="E20" s="94"/>
      <c r="F20" s="57"/>
      <c r="G20" s="57">
        <v>0</v>
      </c>
      <c r="H20" s="104">
        <f ca="1">SUM(H18:H19)</f>
        <v>860.46852524979477</v>
      </c>
      <c r="I20" s="104">
        <f t="shared" ref="I20:L20" ca="1" si="6">SUM(I18:I19)</f>
        <v>843.64220711856638</v>
      </c>
      <c r="J20" s="104">
        <f t="shared" ca="1" si="6"/>
        <v>2414.0357590325748</v>
      </c>
      <c r="K20" s="104">
        <f t="shared" ca="1" si="6"/>
        <v>2414.0357590325748</v>
      </c>
      <c r="L20" s="104">
        <f t="shared" ca="1" si="6"/>
        <v>3657.0430550901983</v>
      </c>
      <c r="M20" s="57"/>
    </row>
    <row r="21" spans="2:13" x14ac:dyDescent="0.2">
      <c r="B21" s="15"/>
      <c r="C21" s="57"/>
      <c r="D21" s="57"/>
      <c r="E21" s="57"/>
      <c r="F21" s="57"/>
      <c r="G21" s="57"/>
      <c r="H21" s="57"/>
      <c r="I21" s="57"/>
      <c r="J21" s="57"/>
      <c r="K21" s="57"/>
      <c r="L21" s="57"/>
    </row>
    <row r="22" spans="2:13" x14ac:dyDescent="0.2">
      <c r="B22" s="52" t="s">
        <v>281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2:13" x14ac:dyDescent="0.2">
      <c r="B23" s="15" t="s">
        <v>169</v>
      </c>
      <c r="C23" s="57"/>
      <c r="D23" s="57"/>
      <c r="E23" s="57"/>
      <c r="F23" s="57"/>
      <c r="G23" s="57"/>
      <c r="H23" s="57">
        <f>G26</f>
        <v>7343</v>
      </c>
      <c r="I23" s="57">
        <f t="shared" ref="I23:L23" si="7">H26</f>
        <v>6712</v>
      </c>
      <c r="J23" s="57">
        <f t="shared" si="7"/>
        <v>6299</v>
      </c>
      <c r="K23" s="57">
        <f t="shared" si="7"/>
        <v>5403</v>
      </c>
      <c r="L23" s="57">
        <f t="shared" si="7"/>
        <v>4905</v>
      </c>
    </row>
    <row r="24" spans="2:13" x14ac:dyDescent="0.2">
      <c r="B24" s="15" t="s">
        <v>173</v>
      </c>
      <c r="C24" s="57"/>
      <c r="D24" s="57"/>
      <c r="E24" s="57"/>
      <c r="F24" s="105"/>
      <c r="G24" s="105"/>
      <c r="H24" s="157"/>
      <c r="I24" s="157"/>
      <c r="J24" s="157"/>
      <c r="K24" s="157"/>
      <c r="L24" s="157"/>
    </row>
    <row r="25" spans="2:13" x14ac:dyDescent="0.2">
      <c r="B25" s="15" t="s">
        <v>174</v>
      </c>
      <c r="C25" s="57"/>
      <c r="D25" s="57"/>
      <c r="E25" s="57"/>
      <c r="F25" s="106"/>
      <c r="G25" s="106"/>
      <c r="H25" s="106">
        <v>-631</v>
      </c>
      <c r="I25" s="106">
        <v>-413</v>
      </c>
      <c r="J25" s="106">
        <v>-896</v>
      </c>
      <c r="K25" s="106">
        <v>-498</v>
      </c>
      <c r="L25" s="106">
        <v>-130</v>
      </c>
      <c r="M25" s="106">
        <v>-100</v>
      </c>
    </row>
    <row r="26" spans="2:13" x14ac:dyDescent="0.2">
      <c r="B26" s="15" t="s">
        <v>171</v>
      </c>
      <c r="C26" s="277">
        <f>BS!C32+BS!C24</f>
        <v>6520</v>
      </c>
      <c r="D26" s="277">
        <f>BS!D32+BS!D24</f>
        <v>6566</v>
      </c>
      <c r="E26" s="277">
        <f>BS!E32+BS!E24</f>
        <v>6354</v>
      </c>
      <c r="F26" s="277">
        <f>BS!F32+BS!F24</f>
        <v>7587</v>
      </c>
      <c r="G26" s="277">
        <f>BS!G32+BS!G24</f>
        <v>7343</v>
      </c>
      <c r="H26" s="277">
        <f>SUM(H23:H25)</f>
        <v>6712</v>
      </c>
      <c r="I26" s="277">
        <f t="shared" ref="I26:L26" si="8">SUM(I23:I25)</f>
        <v>6299</v>
      </c>
      <c r="J26" s="277">
        <f t="shared" si="8"/>
        <v>5403</v>
      </c>
      <c r="K26" s="277">
        <f t="shared" si="8"/>
        <v>4905</v>
      </c>
      <c r="L26" s="277">
        <f t="shared" si="8"/>
        <v>4775</v>
      </c>
      <c r="M26" s="277"/>
    </row>
    <row r="27" spans="2:13" x14ac:dyDescent="0.2">
      <c r="B27" s="15"/>
      <c r="C27" s="15"/>
      <c r="D27" s="15"/>
      <c r="E27" s="15"/>
      <c r="F27" s="15"/>
      <c r="G27" s="15"/>
      <c r="H27" s="165"/>
      <c r="I27" s="15"/>
      <c r="J27" s="15"/>
      <c r="K27" s="15"/>
      <c r="L27" s="15"/>
      <c r="M27" s="229"/>
    </row>
    <row r="28" spans="2:13" x14ac:dyDescent="0.2">
      <c r="B28" s="15" t="s">
        <v>172</v>
      </c>
      <c r="C28" s="15"/>
      <c r="D28" s="15"/>
      <c r="E28" s="15"/>
      <c r="F28" s="15"/>
      <c r="G28" s="15"/>
      <c r="H28" s="165">
        <f>ABS(H26-H29)</f>
        <v>6299</v>
      </c>
      <c r="I28" s="165">
        <f t="shared" ref="I28:L28" si="9">I26-I29</f>
        <v>5403</v>
      </c>
      <c r="J28" s="165">
        <f t="shared" si="9"/>
        <v>4905</v>
      </c>
      <c r="K28" s="165">
        <f t="shared" si="9"/>
        <v>4775</v>
      </c>
      <c r="L28" s="165">
        <f t="shared" si="9"/>
        <v>4675</v>
      </c>
    </row>
    <row r="29" spans="2:13" x14ac:dyDescent="0.2">
      <c r="B29" s="15" t="s">
        <v>207</v>
      </c>
      <c r="C29" s="15"/>
      <c r="D29" s="15"/>
      <c r="E29" s="15"/>
      <c r="F29" s="15"/>
      <c r="G29" s="15"/>
      <c r="H29" s="309">
        <f>ABS(I25)</f>
        <v>413</v>
      </c>
      <c r="I29" s="309">
        <f t="shared" ref="I29:L29" si="10">ABS(J25)</f>
        <v>896</v>
      </c>
      <c r="J29" s="309">
        <f t="shared" si="10"/>
        <v>498</v>
      </c>
      <c r="K29" s="309">
        <f t="shared" si="10"/>
        <v>130</v>
      </c>
      <c r="L29" s="309">
        <f t="shared" si="10"/>
        <v>100</v>
      </c>
    </row>
    <row r="30" spans="2:13" x14ac:dyDescent="0.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2:13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2:13" x14ac:dyDescent="0.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2:12" x14ac:dyDescent="0.2">
      <c r="B33" s="52" t="s">
        <v>168</v>
      </c>
      <c r="C33" s="15"/>
      <c r="D33" s="15"/>
      <c r="E33" s="15"/>
      <c r="F33" s="15" t="s">
        <v>175</v>
      </c>
      <c r="G33" s="107"/>
      <c r="H33" s="107">
        <f ca="1">AVERAGE(G20:H20)</f>
        <v>430.23426262489738</v>
      </c>
      <c r="I33" s="107">
        <f t="shared" ref="I33:L33" ca="1" si="11">AVERAGE(H20:I20)</f>
        <v>852.05536618418057</v>
      </c>
      <c r="J33" s="107">
        <f t="shared" ca="1" si="11"/>
        <v>1628.8389830755705</v>
      </c>
      <c r="K33" s="107">
        <f t="shared" ca="1" si="11"/>
        <v>2414.0357590325748</v>
      </c>
      <c r="L33" s="107">
        <f t="shared" ca="1" si="11"/>
        <v>3035.5394070613866</v>
      </c>
    </row>
    <row r="34" spans="2:12" x14ac:dyDescent="0.2">
      <c r="B34" s="15"/>
      <c r="C34" s="15"/>
      <c r="D34" s="15"/>
      <c r="E34" s="15"/>
      <c r="F34" s="15" t="s">
        <v>176</v>
      </c>
      <c r="G34" s="99"/>
      <c r="H34" s="137">
        <v>1.4999999999999999E-2</v>
      </c>
      <c r="I34" s="137">
        <v>1.4999999999999999E-2</v>
      </c>
      <c r="J34" s="137">
        <v>1.4999999999999999E-2</v>
      </c>
      <c r="K34" s="137">
        <v>1.4999999999999999E-2</v>
      </c>
      <c r="L34" s="137">
        <v>1.4999999999999999E-2</v>
      </c>
    </row>
    <row r="35" spans="2:12" x14ac:dyDescent="0.2">
      <c r="B35" s="15"/>
      <c r="C35" s="15"/>
      <c r="D35" s="15"/>
      <c r="E35" s="15"/>
      <c r="F35" s="15" t="s">
        <v>177</v>
      </c>
      <c r="G35" s="107"/>
      <c r="H35" s="107">
        <f ca="1">H33*H34</f>
        <v>6.4535139393734609</v>
      </c>
      <c r="I35" s="107">
        <f t="shared" ref="I35:L35" ca="1" si="12">I33*I34</f>
        <v>12.780830492762709</v>
      </c>
      <c r="J35" s="107">
        <f t="shared" ca="1" si="12"/>
        <v>24.432584746133557</v>
      </c>
      <c r="K35" s="107">
        <f t="shared" ca="1" si="12"/>
        <v>36.210536385488624</v>
      </c>
      <c r="L35" s="107">
        <f t="shared" ca="1" si="12"/>
        <v>45.533091105920796</v>
      </c>
    </row>
    <row r="36" spans="2:12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2:12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2" x14ac:dyDescent="0.2">
      <c r="B38" s="52" t="s">
        <v>172</v>
      </c>
      <c r="C38" s="15" t="s">
        <v>175</v>
      </c>
      <c r="D38" s="15"/>
      <c r="E38" s="279">
        <f>AVERAGE(D26:E26)</f>
        <v>6460</v>
      </c>
      <c r="F38" s="279">
        <f t="shared" ref="F38:L38" si="13">AVERAGE(E26:F26)</f>
        <v>6970.5</v>
      </c>
      <c r="G38" s="279">
        <f t="shared" si="13"/>
        <v>7465</v>
      </c>
      <c r="H38" s="279">
        <f t="shared" si="13"/>
        <v>7027.5</v>
      </c>
      <c r="I38" s="279">
        <f t="shared" si="13"/>
        <v>6505.5</v>
      </c>
      <c r="J38" s="279">
        <f t="shared" si="13"/>
        <v>5851</v>
      </c>
      <c r="K38" s="279">
        <f t="shared" si="13"/>
        <v>5154</v>
      </c>
      <c r="L38" s="279">
        <f t="shared" si="13"/>
        <v>4840</v>
      </c>
    </row>
    <row r="39" spans="2:12" x14ac:dyDescent="0.2">
      <c r="B39" s="15"/>
      <c r="C39" s="15" t="s">
        <v>176</v>
      </c>
      <c r="D39" s="15"/>
      <c r="E39" s="280">
        <f>E40/E38</f>
        <v>2.2136222910216719E-2</v>
      </c>
      <c r="F39" s="280">
        <f t="shared" ref="F39:L39" si="14">F40/F38</f>
        <v>2.0801951079549529E-2</v>
      </c>
      <c r="G39" s="280">
        <f t="shared" si="14"/>
        <v>2.1969189551239117E-2</v>
      </c>
      <c r="H39" s="280">
        <v>2.1999999999999999E-2</v>
      </c>
      <c r="I39" s="280">
        <v>2.1999999999999999E-2</v>
      </c>
      <c r="J39" s="280">
        <v>2.1999999999999999E-2</v>
      </c>
      <c r="K39" s="280">
        <v>2.1999999999999999E-2</v>
      </c>
      <c r="L39" s="280">
        <v>2.1999999999999999E-2</v>
      </c>
    </row>
    <row r="40" spans="2:12" x14ac:dyDescent="0.2">
      <c r="B40" s="15"/>
      <c r="C40" s="15" t="s">
        <v>177</v>
      </c>
      <c r="D40" s="15"/>
      <c r="E40" s="278">
        <f>IS!E14</f>
        <v>143</v>
      </c>
      <c r="F40" s="278">
        <f>IS!F14</f>
        <v>145</v>
      </c>
      <c r="G40" s="278">
        <f>IS!G14</f>
        <v>164</v>
      </c>
      <c r="H40" s="278">
        <f>H38*H39</f>
        <v>154.60499999999999</v>
      </c>
      <c r="I40" s="278">
        <f t="shared" ref="I40:L40" si="15">I38*I39</f>
        <v>143.12099999999998</v>
      </c>
      <c r="J40" s="278">
        <f t="shared" si="15"/>
        <v>128.72199999999998</v>
      </c>
      <c r="K40" s="278">
        <f t="shared" si="15"/>
        <v>113.38799999999999</v>
      </c>
      <c r="L40" s="278">
        <f t="shared" si="15"/>
        <v>106.47999999999999</v>
      </c>
    </row>
    <row r="41" spans="2:12" x14ac:dyDescent="0.2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2:12" x14ac:dyDescent="0.2">
      <c r="B42" s="52" t="s">
        <v>178</v>
      </c>
      <c r="C42" s="15"/>
      <c r="D42" s="15"/>
      <c r="E42" s="15"/>
      <c r="F42" s="15"/>
      <c r="G42" s="107"/>
      <c r="H42" s="40">
        <f ca="1">H40+H35</f>
        <v>161.05851393937346</v>
      </c>
      <c r="I42" s="40">
        <f t="shared" ref="I42:L42" ca="1" si="16">I40+I35</f>
        <v>155.90183049276268</v>
      </c>
      <c r="J42" s="40">
        <f t="shared" ca="1" si="16"/>
        <v>153.15458474613354</v>
      </c>
      <c r="K42" s="40">
        <f t="shared" ca="1" si="16"/>
        <v>149.59853638548861</v>
      </c>
      <c r="L42" s="40">
        <f t="shared" ca="1" si="16"/>
        <v>152.01309110592078</v>
      </c>
    </row>
    <row r="43" spans="2:12" x14ac:dyDescent="0.2">
      <c r="B43" s="15"/>
      <c r="C43" s="15"/>
      <c r="E43" s="15"/>
      <c r="F43" s="15"/>
      <c r="G43" s="40"/>
      <c r="H43" s="40"/>
      <c r="I43" s="40"/>
      <c r="J43" s="40"/>
      <c r="K43" s="40"/>
      <c r="L43" s="40"/>
    </row>
    <row r="44" spans="2:12" x14ac:dyDescent="0.2">
      <c r="B44" s="15"/>
      <c r="C44" s="15"/>
      <c r="E44" s="15"/>
      <c r="F44" s="15"/>
      <c r="G44" s="40"/>
      <c r="H44" s="40"/>
      <c r="I44" s="40"/>
      <c r="J44" s="40"/>
      <c r="K44" s="40"/>
      <c r="L44" s="40"/>
    </row>
    <row r="45" spans="2:12" x14ac:dyDescent="0.2">
      <c r="B45" s="52" t="s">
        <v>179</v>
      </c>
      <c r="C45" s="15"/>
      <c r="E45" s="15"/>
      <c r="F45" s="15" t="s">
        <v>175</v>
      </c>
      <c r="G45" s="107"/>
      <c r="H45" s="107">
        <f ca="1">AVERAGE(CF!G49:H49)</f>
        <v>693.99999999999989</v>
      </c>
      <c r="I45" s="107">
        <f ca="1">AVERAGE(CF!H49:I49)</f>
        <v>499.99999999999977</v>
      </c>
      <c r="J45" s="107">
        <f ca="1">AVERAGE(CF!I49:J49)</f>
        <v>499.99999999999977</v>
      </c>
      <c r="K45" s="107">
        <f ca="1">AVERAGE(CF!J49:K49)</f>
        <v>575.63751166484803</v>
      </c>
      <c r="L45" s="107">
        <f ca="1">AVERAGE(CF!K49:L49)</f>
        <v>651.2750233296963</v>
      </c>
    </row>
    <row r="46" spans="2:12" x14ac:dyDescent="0.2">
      <c r="B46" s="15"/>
      <c r="C46" s="15"/>
      <c r="E46" s="15"/>
      <c r="F46" s="15" t="s">
        <v>176</v>
      </c>
      <c r="G46" s="108"/>
      <c r="H46" s="108">
        <v>5.0000000000000001E-3</v>
      </c>
      <c r="I46" s="108">
        <v>5.0000000000000001E-3</v>
      </c>
      <c r="J46" s="108">
        <v>5.0000000000000001E-3</v>
      </c>
      <c r="K46" s="108">
        <v>5.0000000000000001E-3</v>
      </c>
      <c r="L46" s="108">
        <v>5.0000000000000001E-3</v>
      </c>
    </row>
    <row r="47" spans="2:12" x14ac:dyDescent="0.2">
      <c r="B47" s="15"/>
      <c r="C47" s="15"/>
      <c r="E47" s="15"/>
      <c r="F47" s="15" t="s">
        <v>180</v>
      </c>
      <c r="G47" s="40"/>
      <c r="H47" s="40">
        <f ca="1">H45*H46</f>
        <v>3.4699999999999993</v>
      </c>
      <c r="I47" s="40">
        <f t="shared" ref="I47:L47" ca="1" si="17">I45*I46</f>
        <v>2.4999999999999991</v>
      </c>
      <c r="J47" s="40">
        <f t="shared" ca="1" si="17"/>
        <v>2.4999999999999991</v>
      </c>
      <c r="K47" s="40">
        <f t="shared" ca="1" si="17"/>
        <v>2.8781875583242402</v>
      </c>
      <c r="L47" s="40">
        <f t="shared" ca="1" si="17"/>
        <v>3.2563751166484813</v>
      </c>
    </row>
  </sheetData>
  <pageMargins left="0.7" right="0.7" top="0.75" bottom="0.75" header="0.3" footer="0.3"/>
  <pageSetup orientation="portrait" horizontalDpi="200" verticalDpi="200" r:id="rId1"/>
  <ignoredErrors>
    <ignoredError sqref="H6:L9 H10" unlockedFormula="1"/>
    <ignoredError sqref="I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IS</vt:lpstr>
      <vt:lpstr>BS</vt:lpstr>
      <vt:lpstr>CF</vt:lpstr>
      <vt:lpstr>Working Capital</vt:lpstr>
      <vt:lpstr>Dep Capex </vt:lpstr>
      <vt:lpstr>Amort Intangible</vt:lpstr>
      <vt:lpstr>Other Long Term Asset Liability</vt:lpstr>
      <vt:lpstr>Shareholders Equity</vt:lpstr>
      <vt:lpstr>Shares Outstanding </vt:lpstr>
      <vt:lpstr>Debt</vt:lpstr>
    </vt:vector>
  </TitlesOfParts>
  <Company>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</dc:creator>
  <cp:lastModifiedBy>Oniruddho Khan Saadi</cp:lastModifiedBy>
  <dcterms:created xsi:type="dcterms:W3CDTF">2013-06-17T08:47:06Z</dcterms:created>
  <dcterms:modified xsi:type="dcterms:W3CDTF">2025-11-28T15:30:15Z</dcterms:modified>
</cp:coreProperties>
</file>