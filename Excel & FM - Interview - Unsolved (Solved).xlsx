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iruddhokhansaadi/Desktop/Cases &amp; Models/"/>
    </mc:Choice>
  </mc:AlternateContent>
  <xr:revisionPtr revIDLastSave="0" documentId="8_{ED3C48BE-C1D1-894F-8117-92D834C47C75}" xr6:coauthVersionLast="47" xr6:coauthVersionMax="47" xr10:uidLastSave="{00000000-0000-0000-0000-000000000000}"/>
  <bookViews>
    <workbookView xWindow="28800" yWindow="0" windowWidth="38400" windowHeight="21600" activeTab="3" xr2:uid="{00000000-000D-0000-FFFF-FFFF00000000}"/>
  </bookViews>
  <sheets>
    <sheet name="IS" sheetId="1" r:id="rId1"/>
    <sheet name="BS" sheetId="2" r:id="rId2"/>
    <sheet name="Prices" sheetId="5" r:id="rId3"/>
    <sheet name="Questions" sheetId="4" r:id="rId4"/>
  </sheets>
  <definedNames>
    <definedName name="_xlnm._FilterDatabase" localSheetId="2" hidden="1">Prices!$C$3:$F$1047</definedName>
    <definedName name="_xlchart.v1.0" hidden="1">Prices!$C$3</definedName>
    <definedName name="_xlchart.v1.1" hidden="1">Prices!$C$4:$C$1047</definedName>
    <definedName name="_xlchart.v1.10" hidden="1">Prices!$F$3</definedName>
    <definedName name="_xlchart.v1.11" hidden="1">Prices!$F$4:$F$1047</definedName>
    <definedName name="_xlchart.v1.12" hidden="1">Prices!$C$3</definedName>
    <definedName name="_xlchart.v1.13" hidden="1">Prices!$C$4:$C$1047</definedName>
    <definedName name="_xlchart.v1.14" hidden="1">Prices!$D$3</definedName>
    <definedName name="_xlchart.v1.15" hidden="1">Prices!$D$4:$D$1047</definedName>
    <definedName name="_xlchart.v1.16" hidden="1">Prices!$F$3</definedName>
    <definedName name="_xlchart.v1.17" hidden="1">Prices!$F$4:$F$1047</definedName>
    <definedName name="_xlchart.v1.18" hidden="1">Prices!$C$3</definedName>
    <definedName name="_xlchart.v1.19" hidden="1">Prices!$C$4:$C$1047</definedName>
    <definedName name="_xlchart.v1.2" hidden="1">Prices!$D$3</definedName>
    <definedName name="_xlchart.v1.20" hidden="1">Prices!$D$3</definedName>
    <definedName name="_xlchart.v1.21" hidden="1">Prices!$D$4:$D$1047</definedName>
    <definedName name="_xlchart.v1.22" hidden="1">Prices!$F$3</definedName>
    <definedName name="_xlchart.v1.23" hidden="1">Prices!$F$4:$F$1047</definedName>
    <definedName name="_xlchart.v1.24" hidden="1">Prices!$C$3</definedName>
    <definedName name="_xlchart.v1.25" hidden="1">Prices!$C$4:$C$1047</definedName>
    <definedName name="_xlchart.v1.26" hidden="1">Prices!$D$3</definedName>
    <definedName name="_xlchart.v1.27" hidden="1">Prices!$D$4:$D$1047</definedName>
    <definedName name="_xlchart.v1.28" hidden="1">Prices!$F$3</definedName>
    <definedName name="_xlchart.v1.29" hidden="1">Prices!$F$4:$F$1047</definedName>
    <definedName name="_xlchart.v1.3" hidden="1">Prices!$D$4:$D$1047</definedName>
    <definedName name="_xlchart.v1.30" hidden="1">Prices!$C$3</definedName>
    <definedName name="_xlchart.v1.31" hidden="1">Prices!$C$4:$C$1047</definedName>
    <definedName name="_xlchart.v1.32" hidden="1">Prices!$D$3</definedName>
    <definedName name="_xlchart.v1.33" hidden="1">Prices!$D$4:$D$1047</definedName>
    <definedName name="_xlchart.v1.34" hidden="1">Prices!$F$3</definedName>
    <definedName name="_xlchart.v1.35" hidden="1">Prices!$F$4:$F$1047</definedName>
    <definedName name="_xlchart.v1.36" hidden="1">Prices!$C$3</definedName>
    <definedName name="_xlchart.v1.37" hidden="1">Prices!$C$4:$C$1047</definedName>
    <definedName name="_xlchart.v1.38" hidden="1">Prices!$D$3</definedName>
    <definedName name="_xlchart.v1.39" hidden="1">Prices!$D$4:$D$1047</definedName>
    <definedName name="_xlchart.v1.4" hidden="1">Prices!$F$3</definedName>
    <definedName name="_xlchart.v1.40" hidden="1">Prices!$F$3</definedName>
    <definedName name="_xlchart.v1.41" hidden="1">Prices!$F$4:$F$1047</definedName>
    <definedName name="_xlchart.v1.42" hidden="1">Prices!$C$3</definedName>
    <definedName name="_xlchart.v1.43" hidden="1">Prices!$C$4:$C$1047</definedName>
    <definedName name="_xlchart.v1.44" hidden="1">Prices!$D$3</definedName>
    <definedName name="_xlchart.v1.45" hidden="1">Prices!$D$4:$D$1047</definedName>
    <definedName name="_xlchart.v1.46" hidden="1">Prices!$F$3</definedName>
    <definedName name="_xlchart.v1.47" hidden="1">Prices!$F$4:$F$1047</definedName>
    <definedName name="_xlchart.v1.48" hidden="1">Prices!$C$3</definedName>
    <definedName name="_xlchart.v1.49" hidden="1">Prices!$C$4:$C$1047</definedName>
    <definedName name="_xlchart.v1.5" hidden="1">Prices!$F$4:$F$1047</definedName>
    <definedName name="_xlchart.v1.50" hidden="1">Prices!$D$3</definedName>
    <definedName name="_xlchart.v1.51" hidden="1">Prices!$D$4:$D$1047</definedName>
    <definedName name="_xlchart.v1.52" hidden="1">Prices!$F$3</definedName>
    <definedName name="_xlchart.v1.53" hidden="1">Prices!$F$4:$F$1047</definedName>
    <definedName name="_xlchart.v1.6" hidden="1">Prices!$C$3</definedName>
    <definedName name="_xlchart.v1.7" hidden="1">Prices!$C$4:$C$1047</definedName>
    <definedName name="_xlchart.v1.8" hidden="1">Prices!$D$3</definedName>
    <definedName name="_xlchart.v1.9" hidden="1">Prices!$D$4:$D$1047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TRNR_0827bacae25d431e913e2dc72d8e6b01_1043_0" hidden="1">Prices!$F$4</definedName>
    <definedName name="TRNR_1fc1255c6caf4960b890d9d85294c8bb_1043_0" hidden="1">Prices!$F$4</definedName>
    <definedName name="TRNR_5a67d83b3f134aeea8e32149a4c05c16_1043_2" hidden="1">Prices!$C$4</definedName>
    <definedName name="TRNR_97245bd78cfa4a9cb6d3ecc35b3e0385_0_0" hidden="1">Prices!$F$4</definedName>
    <definedName name="TRNR_d7ed05688482406c9826abc10a21a6c2_0_2" hidden="1">Prices!$C$4</definedName>
  </definedName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5" i="4" l="1"/>
  <c r="J64" i="4"/>
  <c r="J63" i="4"/>
  <c r="J62" i="4"/>
  <c r="J61" i="4"/>
  <c r="J60" i="4"/>
  <c r="J59" i="4"/>
  <c r="F55" i="4"/>
  <c r="F54" i="4"/>
  <c r="F32" i="4"/>
  <c r="I28" i="4"/>
  <c r="H28" i="4"/>
  <c r="B978" i="5"/>
  <c r="B977" i="5"/>
  <c r="B976" i="5"/>
  <c r="B975" i="5"/>
  <c r="B979" i="5"/>
  <c r="G28" i="4"/>
  <c r="I27" i="4"/>
  <c r="H27" i="4"/>
  <c r="G27" i="4"/>
  <c r="F28" i="4"/>
  <c r="F27" i="4"/>
  <c r="K38" i="4" a="1"/>
  <c r="K38" i="4" s="1"/>
  <c r="K37" i="4" a="1"/>
  <c r="K37" i="4" s="1"/>
  <c r="K36" i="4" a="1"/>
  <c r="K36" i="4" s="1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N4" i="5" s="1"/>
  <c r="H8" i="4"/>
  <c r="G8" i="4"/>
  <c r="F8" i="4"/>
  <c r="I8" i="4"/>
  <c r="I16" i="4"/>
  <c r="H16" i="4"/>
  <c r="G16" i="4"/>
  <c r="F16" i="4"/>
  <c r="I15" i="4"/>
  <c r="H15" i="4"/>
  <c r="G15" i="4"/>
  <c r="F15" i="4"/>
  <c r="I14" i="4"/>
  <c r="H14" i="4"/>
  <c r="G14" i="4"/>
  <c r="F14" i="4"/>
  <c r="H12" i="4"/>
  <c r="G12" i="4"/>
  <c r="F12" i="4"/>
  <c r="I12" i="4"/>
  <c r="H11" i="4"/>
  <c r="G11" i="4"/>
  <c r="F11" i="4"/>
  <c r="I11" i="4"/>
  <c r="H10" i="4"/>
  <c r="G10" i="4"/>
  <c r="F10" i="4"/>
  <c r="I10" i="4"/>
  <c r="H7" i="4"/>
  <c r="G7" i="4"/>
  <c r="F7" i="4"/>
  <c r="I7" i="4"/>
  <c r="F6" i="4"/>
  <c r="H6" i="4"/>
  <c r="G6" i="4"/>
  <c r="I6" i="4"/>
  <c r="H5" i="4"/>
  <c r="G5" i="4"/>
  <c r="F5" i="4"/>
  <c r="I5" i="4"/>
  <c r="I61" i="4"/>
  <c r="I62" i="4" s="1"/>
  <c r="I63" i="4" s="1"/>
  <c r="I60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<sst xmlns="http://schemas.openxmlformats.org/spreadsheetml/2006/main" count="1454" uniqueCount="492">
  <si>
    <t>Microsoft Corp | Income Statement                                10-Feb-2022 16:53</t>
  </si>
  <si>
    <t>Income Statement</t>
  </si>
  <si>
    <t>Annual Standardised in Millions of U.S. Dollars</t>
  </si>
  <si>
    <t>Earnings Quality Score</t>
  </si>
  <si>
    <t>86 </t>
  </si>
  <si>
    <t>94 </t>
  </si>
  <si>
    <t>85 </t>
  </si>
  <si>
    <t>98 </t>
  </si>
  <si>
    <t>88 </t>
  </si>
  <si>
    <t>Period End Date</t>
  </si>
  <si>
    <t>30-Jun-2021 </t>
  </si>
  <si>
    <t>30-Jun-2020 </t>
  </si>
  <si>
    <t>30-Jun-2019 </t>
  </si>
  <si>
    <t>30-Jun-2018 </t>
  </si>
  <si>
    <t>30-Jun-2017 </t>
  </si>
  <si>
    <t>Original Announcement Date</t>
  </si>
  <si>
    <t>27-Jul-2021 20:42 </t>
  </si>
  <si>
    <t>22-Jul-2020 20:03 </t>
  </si>
  <si>
    <t>18-Jul-2019 20:04 </t>
  </si>
  <si>
    <t>19-Jul-2018 20:04 </t>
  </si>
  <si>
    <t>Revenue</t>
  </si>
  <si>
    <t>Net Sales</t>
  </si>
  <si>
    <t>Other Revenue, Total</t>
  </si>
  <si>
    <t>--</t>
  </si>
  <si>
    <t>Total Revenue</t>
  </si>
  <si>
    <t>Cost of Revenue, Total</t>
  </si>
  <si>
    <t>Cost of Revenue</t>
  </si>
  <si>
    <t>Gross Profit</t>
  </si>
  <si>
    <t>Selling/General/Admin. Expenses, Total</t>
  </si>
  <si>
    <t>Selling/General/Administrative Expense</t>
  </si>
  <si>
    <t>Advertising Expense</t>
  </si>
  <si>
    <t>Research &amp; Development</t>
  </si>
  <si>
    <t>Depreciation/Amortization</t>
  </si>
  <si>
    <t>Interest Expense, Net - Operating</t>
  </si>
  <si>
    <t>Interest/Investment Income - Operating</t>
  </si>
  <si>
    <t>Interest Expense(Income) - Net Operating</t>
  </si>
  <si>
    <t>Interest Exp.(Inc.),Net-Operating, Total</t>
  </si>
  <si>
    <t>Unusual Expense (Income)</t>
  </si>
  <si>
    <t>Restructuring Charge</t>
  </si>
  <si>
    <t>Impairment-Assets Held for Sale</t>
  </si>
  <si>
    <t>Other Unusual Expense (Income)</t>
  </si>
  <si>
    <t>Other Operating Expenses, Total</t>
  </si>
  <si>
    <t>Total Operating Expense</t>
  </si>
  <si>
    <t>Operating Income</t>
  </si>
  <si>
    <t>Interest Expense, Net Non-Operating</t>
  </si>
  <si>
    <t>Interest Expense - Non-Operating</t>
  </si>
  <si>
    <t>Interest/Invest Income - Non-Operating</t>
  </si>
  <si>
    <t>Investment Income - Non-Operating</t>
  </si>
  <si>
    <t>Interest Income(Exp), Net Non-Operating</t>
  </si>
  <si>
    <t>Interest Inc.(Exp.),Net-Non-Op., Total</t>
  </si>
  <si>
    <t>Gain (Loss) on Sale of Assets</t>
  </si>
  <si>
    <t>Other, Net</t>
  </si>
  <si>
    <t>Other Non-Operating Income (Expense)</t>
  </si>
  <si>
    <t>Net Income Before Taxes</t>
  </si>
  <si>
    <t>Provision for Income Taxes</t>
  </si>
  <si>
    <t>Net Income After Taxes</t>
  </si>
  <si>
    <t>Minority Interest</t>
  </si>
  <si>
    <t>Equity In Affiliates</t>
  </si>
  <si>
    <t>U.S. GAAP Adjustment</t>
  </si>
  <si>
    <t>Net Income Before Extra. Items</t>
  </si>
  <si>
    <t>Accounting Change</t>
  </si>
  <si>
    <t>Discontinued Operations</t>
  </si>
  <si>
    <t>Extraordinary Item</t>
  </si>
  <si>
    <t>Tax on Extraordinary Items</t>
  </si>
  <si>
    <t>Total Extraordinary Items</t>
  </si>
  <si>
    <t>Net Income</t>
  </si>
  <si>
    <t>Preferred Dividends</t>
  </si>
  <si>
    <t>General Partners' Distributions</t>
  </si>
  <si>
    <t>Miscellaneous Earnings Adjustment</t>
  </si>
  <si>
    <t>Pro Forma Adjustment</t>
  </si>
  <si>
    <t>Interest Adjustment - Primary EPS</t>
  </si>
  <si>
    <t>Total Adjustments to Net Income</t>
  </si>
  <si>
    <t>Income Available to Com Excl ExtraOrd</t>
  </si>
  <si>
    <t>Income Available to Com Incl ExtraOrd</t>
  </si>
  <si>
    <t>Basic Weighted Average Shares</t>
  </si>
  <si>
    <t>Basic EPS Excluding Extraordinary Items</t>
  </si>
  <si>
    <t>Basic EPS Including Extraordinary Items</t>
  </si>
  <si>
    <t>Dilution Adjustment</t>
  </si>
  <si>
    <t>Diluted Net Income</t>
  </si>
  <si>
    <t>Diluted Weighted Average Shares</t>
  </si>
  <si>
    <t>Diluted EPS Excluding ExtraOrd Items</t>
  </si>
  <si>
    <t>Diluted EPS Including ExtraOrd Items</t>
  </si>
  <si>
    <t>Supplemental ($ Millions)</t>
  </si>
  <si>
    <t>DPS - Common Stock Primary Issue</t>
  </si>
  <si>
    <t>Dividends per Share - Com Stock Issue 2</t>
  </si>
  <si>
    <t>Dividends per Share - Com Stock Issue 3</t>
  </si>
  <si>
    <t>Dividends per Share - Com Stock Issue 4</t>
  </si>
  <si>
    <t>Special DPS - Common Stock Primary Issue</t>
  </si>
  <si>
    <t>Special DPS - Common Stock Issue 2</t>
  </si>
  <si>
    <t>Special DPS - Common Stock Issue 3</t>
  </si>
  <si>
    <t>Special DPS - Common Stock Issue 4</t>
  </si>
  <si>
    <t>Gross Dividends - Common Stock</t>
  </si>
  <si>
    <t>Pro Forma Stock Compensation Expense</t>
  </si>
  <si>
    <t>Net Income after Stock Based Comp. Exp.</t>
  </si>
  <si>
    <t>Basic EPS after Stock Based Comp. Exp.</t>
  </si>
  <si>
    <t>Diluted EPS after Stock Based Comp. Exp.</t>
  </si>
  <si>
    <t>(Gain) Loss on Sale of Assets, Suppl.</t>
  </si>
  <si>
    <t>Impairment-Assets Held for Sale, Suppl.</t>
  </si>
  <si>
    <t>Impairment-Assets Held for Use, Suppl.</t>
  </si>
  <si>
    <t>Litigation Charge, Supplemental</t>
  </si>
  <si>
    <t>Purchased R&amp;D Written-Off, Supplemental</t>
  </si>
  <si>
    <t>Restructuring Charge, Supplemental</t>
  </si>
  <si>
    <t>Other Unusual Expense(Income), Suppl.</t>
  </si>
  <si>
    <t>Non-Recurring Items, Supplemental, Total</t>
  </si>
  <si>
    <t>Total Special Items</t>
  </si>
  <si>
    <t>Normalized Income Before Taxes</t>
  </si>
  <si>
    <t>Effect of Special Items on Income Taxes</t>
  </si>
  <si>
    <t>Inc Tax Ex Impact of Sp Items</t>
  </si>
  <si>
    <t>Normalized Income After Taxes</t>
  </si>
  <si>
    <t>Normalized Inc. Avail to Com.</t>
  </si>
  <si>
    <t>Basic Normalized EPS</t>
  </si>
  <si>
    <t>Diluted Normalized EPS</t>
  </si>
  <si>
    <t>EPS, Supplemental</t>
  </si>
  <si>
    <t>Funds From Operations - REIT</t>
  </si>
  <si>
    <t>Amort of Acquisition Costs, Supplemental</t>
  </si>
  <si>
    <t>Amort of Intangibles, Supplemental</t>
  </si>
  <si>
    <t>Amort. of Right-of-Use Intang.Assets,Sup</t>
  </si>
  <si>
    <t>Depreciation, Supplemental</t>
  </si>
  <si>
    <t>Depreciation of Right-of-Use Assets,Sup.</t>
  </si>
  <si>
    <t>Interest Expense, Supplemental</t>
  </si>
  <si>
    <t>Interest Capitalized, Supplemental</t>
  </si>
  <si>
    <t>Interest Expense on Lease Liabs., Suppl.</t>
  </si>
  <si>
    <t>Interest Expense (Financial Oper), Suppl</t>
  </si>
  <si>
    <t>Net Revenues</t>
  </si>
  <si>
    <t>Rental Expense, Supplemental</t>
  </si>
  <si>
    <t>Labor &amp; Related Expense Suppl.</t>
  </si>
  <si>
    <t>Stock-Based Compensation, Supplemental</t>
  </si>
  <si>
    <t>Variable Lease Expense - Unclassified</t>
  </si>
  <si>
    <t>Variable Operating Lease Expenses</t>
  </si>
  <si>
    <t>Variable Financial Lease Expenses</t>
  </si>
  <si>
    <t>Short-Term Lease Cost</t>
  </si>
  <si>
    <t>Sublease Income</t>
  </si>
  <si>
    <t>Lease Expense -Total</t>
  </si>
  <si>
    <t>Advertising Expense, Supplemental</t>
  </si>
  <si>
    <t>Equity in Affiliates, Supplemental</t>
  </si>
  <si>
    <t>Minority Interest, Supplemental</t>
  </si>
  <si>
    <t>Income Taxes - Non-Recurring Tax Change</t>
  </si>
  <si>
    <t>Research &amp; Development Exp, Supplemental</t>
  </si>
  <si>
    <t>Audit Fees</t>
  </si>
  <si>
    <t>Audit-Related Fees</t>
  </si>
  <si>
    <t>Tax Fees</t>
  </si>
  <si>
    <t>All Other Fees</t>
  </si>
  <si>
    <t>Reported Recurring Revenue</t>
  </si>
  <si>
    <t>Reported Net Premiums Written</t>
  </si>
  <si>
    <t>Reported Total Revenue</t>
  </si>
  <si>
    <t>Reported Operating Revenue</t>
  </si>
  <si>
    <t>Reported Total Cost of Revenue</t>
  </si>
  <si>
    <t>Reported Total Sales, General &amp; Admin.</t>
  </si>
  <si>
    <t>Reported Gross Profit</t>
  </si>
  <si>
    <t>Reported Operating Profit</t>
  </si>
  <si>
    <t>Reported Operating Profit Margin</t>
  </si>
  <si>
    <t>Reported Ordinary Profit</t>
  </si>
  <si>
    <t>Reported Net Income After Tax</t>
  </si>
  <si>
    <t>Reported Basic EPS</t>
  </si>
  <si>
    <t>Reported Diluted EPS</t>
  </si>
  <si>
    <t>Reported Net Business Profits</t>
  </si>
  <si>
    <t>Islamic Income</t>
  </si>
  <si>
    <t>Zakat</t>
  </si>
  <si>
    <t>COVID-19 Non-Recurring Inc/Exp - Other</t>
  </si>
  <si>
    <t>COVID-19 One-time Provisions</t>
  </si>
  <si>
    <t>COVID-19 Restructuring Chrgs/Provisions</t>
  </si>
  <si>
    <t>COVID-19 Impairment of Long-Term Assets</t>
  </si>
  <si>
    <t>COVID-19 One-time Government Grants</t>
  </si>
  <si>
    <t>COVID-19 Inc Taxes - Non-Recurring</t>
  </si>
  <si>
    <t>Islamic Section, Supplemental</t>
  </si>
  <si>
    <t>Normalized EBIT</t>
  </si>
  <si>
    <t>Normalized EBITDA</t>
  </si>
  <si>
    <t>Tax &amp; Pension Items ($ Millions)</t>
  </si>
  <si>
    <t>Current Tax - Total</t>
  </si>
  <si>
    <t>Current Tax - Domestic</t>
  </si>
  <si>
    <t>Current Tax - Foreign</t>
  </si>
  <si>
    <t>Current Tax - Local</t>
  </si>
  <si>
    <t>Deferred Tax - Total</t>
  </si>
  <si>
    <t>Deferred Tax - Domestic</t>
  </si>
  <si>
    <t>Deferred Tax - Foreign</t>
  </si>
  <si>
    <t>Deferred Tax - Local</t>
  </si>
  <si>
    <t>Income Tax - Total</t>
  </si>
  <si>
    <t>Income Tax by Region - Total</t>
  </si>
  <si>
    <t>Domestic Pension Plan Expense</t>
  </si>
  <si>
    <t>Foreign Pension Plan Expense</t>
  </si>
  <si>
    <t>Post-Retirement Plan Expense</t>
  </si>
  <si>
    <t>Total Pension Expense</t>
  </si>
  <si>
    <t>Defined Contribution Expense - Domestic</t>
  </si>
  <si>
    <t>Assumptions</t>
  </si>
  <si>
    <t>Total Plan Interest Cost</t>
  </si>
  <si>
    <t>Total Plan Service Cost</t>
  </si>
  <si>
    <t>Total Plan Expected Return</t>
  </si>
  <si>
    <t>Total Plan Other Expense</t>
  </si>
  <si>
    <t>Dividends and Capital Changes</t>
  </si>
  <si>
    <t>Microsoft Ord Shs</t>
  </si>
  <si>
    <t>Cash Dividend</t>
  </si>
  <si>
    <t>$0.56 I</t>
  </si>
  <si>
    <t>$0.51 I</t>
  </si>
  <si>
    <t>$0.46 I</t>
  </si>
  <si>
    <t>$0.42 I</t>
  </si>
  <si>
    <t>$0.39 I</t>
  </si>
  <si>
    <t>(16-Jun) Ann. </t>
  </si>
  <si>
    <t>(17-Jun) Ann. </t>
  </si>
  <si>
    <t>(12-Jun) Ann. </t>
  </si>
  <si>
    <t>(13-Jun) Ann. </t>
  </si>
  <si>
    <t>(14-Jun) Ann. </t>
  </si>
  <si>
    <t>(16-Mar) Ann. </t>
  </si>
  <si>
    <t>(09-Mar) Ann. </t>
  </si>
  <si>
    <t>(12-Mar) Ann. </t>
  </si>
  <si>
    <t>(13-Mar) Ann. </t>
  </si>
  <si>
    <t>(14-Mar) Ann. </t>
  </si>
  <si>
    <t>(02-Dec) Ann. </t>
  </si>
  <si>
    <t>(04-Dec) Ann. </t>
  </si>
  <si>
    <t>(28-Nov) Ann. </t>
  </si>
  <si>
    <t>(01-Dec) Ann. </t>
  </si>
  <si>
    <t>$0.56 F</t>
  </si>
  <si>
    <t>$0.51 F</t>
  </si>
  <si>
    <t>$0.46 F</t>
  </si>
  <si>
    <t>$0.42 F</t>
  </si>
  <si>
    <t>$0.39 F</t>
  </si>
  <si>
    <t>(15-Sep) Ann. </t>
  </si>
  <si>
    <t>(18-Sep) Ann. </t>
  </si>
  <si>
    <t>(19-Sep) Ann. </t>
  </si>
  <si>
    <t>(20-Sep) Ann. </t>
  </si>
  <si>
    <t>Buyback</t>
  </si>
  <si>
    <t>1x</t>
  </si>
  <si>
    <t>(18-Sep) </t>
  </si>
  <si>
    <t>(20-Sep) </t>
  </si>
  <si>
    <t>Dividends &amp; Capital Changes After Jun-2021</t>
  </si>
  <si>
    <t>$0.62 I</t>
  </si>
  <si>
    <t>(07-Dec) Ann. </t>
  </si>
  <si>
    <t>$0.62 F</t>
  </si>
  <si>
    <t>Adj. Factor 1x</t>
  </si>
  <si>
    <t>(14-Sep) </t>
  </si>
  <si>
    <t>Microsoft Corp | Balance Sheet                                10-Feb-2022 16:56</t>
  </si>
  <si>
    <t>Balance Sheet</t>
  </si>
  <si>
    <t>Assets ($ Millions)</t>
  </si>
  <si>
    <t>Cash and Short Term Investments</t>
  </si>
  <si>
    <t>Cash &amp; Equivalents</t>
  </si>
  <si>
    <t>Short Term Investments</t>
  </si>
  <si>
    <t>Accounts Receivable - Trade, Net</t>
  </si>
  <si>
    <t>Accounts Receivable - Trade, Gross</t>
  </si>
  <si>
    <t>Provision for Doubtful Accounts</t>
  </si>
  <si>
    <t>Total Receivables, Net</t>
  </si>
  <si>
    <t>Total Inventory</t>
  </si>
  <si>
    <t>Inventories - Finished Goods</t>
  </si>
  <si>
    <t>Inventories - Work In Progress</t>
  </si>
  <si>
    <t>Inventories - Raw Materials</t>
  </si>
  <si>
    <t>Prepaid Expenses</t>
  </si>
  <si>
    <t>Other Current Assets, Total</t>
  </si>
  <si>
    <t>Other Current Assets</t>
  </si>
  <si>
    <t>Total Current Assets</t>
  </si>
  <si>
    <t>Property/Plant/Equipment, Total - Gross</t>
  </si>
  <si>
    <t>Buildings - Gross</t>
  </si>
  <si>
    <t>Land/Improvements - Gross</t>
  </si>
  <si>
    <t>Machinery/Equipment - Gross</t>
  </si>
  <si>
    <t>Other Property/Plant/Equipment - Gross</t>
  </si>
  <si>
    <t>Property/Plant/Equipment, Total - Net</t>
  </si>
  <si>
    <t>Accumulated Depreciation, Total</t>
  </si>
  <si>
    <t>Goodwill, Net</t>
  </si>
  <si>
    <t>Intangibles, Net</t>
  </si>
  <si>
    <t>Intangibles - Gross</t>
  </si>
  <si>
    <t>Accumulated Intangible Amortization</t>
  </si>
  <si>
    <t>Long Term Investments</t>
  </si>
  <si>
    <t>LT Investment - Affiliate Companies</t>
  </si>
  <si>
    <t>Note Receivable - Long Term</t>
  </si>
  <si>
    <t>Other Long Term Assets, Total</t>
  </si>
  <si>
    <t>Defered Income Tax - Long Term Asset</t>
  </si>
  <si>
    <t>Other Long Term Assets</t>
  </si>
  <si>
    <t>Total Assets</t>
  </si>
  <si>
    <t>Liabilities ($ Millions)</t>
  </si>
  <si>
    <t>Accounts Payable</t>
  </si>
  <si>
    <t>Payable/Accrued</t>
  </si>
  <si>
    <t>Accrued Expenses</t>
  </si>
  <si>
    <t>Notes Payable/Short Term Debt</t>
  </si>
  <si>
    <t>Current Port. of LT Debt/Capital Leases</t>
  </si>
  <si>
    <t>Other Current liabilities, Total</t>
  </si>
  <si>
    <t>Customer Advances</t>
  </si>
  <si>
    <t>Income Taxes Payable</t>
  </si>
  <si>
    <t>Other Payables</t>
  </si>
  <si>
    <t>Other Current Liabilities</t>
  </si>
  <si>
    <t>Total Current Liabilities</t>
  </si>
  <si>
    <t>Total Long Term Debt</t>
  </si>
  <si>
    <t>Long Term Debt</t>
  </si>
  <si>
    <t>Capital Lease Obligations</t>
  </si>
  <si>
    <t>Total Debt</t>
  </si>
  <si>
    <t>Deferred Income Tax</t>
  </si>
  <si>
    <t>Deferred Income Tax - LT Liability</t>
  </si>
  <si>
    <t>Other Liabilities, Total</t>
  </si>
  <si>
    <t>Other Long Term Liabilities</t>
  </si>
  <si>
    <t>Total Liabilities</t>
  </si>
  <si>
    <t>Shareholders Equity ($ Millions)</t>
  </si>
  <si>
    <t>Redeemable Preferred Stock, Total</t>
  </si>
  <si>
    <t>Preferred Stock - Non Redeemable, Net</t>
  </si>
  <si>
    <t>Common Stock, Total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</si>
  <si>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</si>
  <si>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</si>
  <si>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</si>
  <si>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</si>
  <si>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</si>
  <si>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</si>
  <si>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</si>
  <si>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Translation Adjustment</t>
  </si>
  <si>
    <t>Other Comprehensive Income</t>
  </si>
  <si>
    <t>Total Equity</t>
  </si>
  <si>
    <t>Total Liabilities &amp; Shareholders' Equity</t>
  </si>
  <si>
    <t>Shares Outstanding - Common Issue 2</t>
  </si>
  <si>
    <t>Shares Outstanding - Common Issue 3</t>
  </si>
  <si>
    <t>Shares Outstanding - Common Issue 4</t>
  </si>
  <si>
    <t>Total Common Shares Outstanding</t>
  </si>
  <si>
    <t>Shares Outs - Common Stock Primary Issue</t>
  </si>
  <si>
    <t>Treas Shares - Common Stock Prmry Issue</t>
  </si>
  <si>
    <t>Treasury Shares - Common Issue 2</t>
  </si>
  <si>
    <t>Treasury Shares - Common Issue 3</t>
  </si>
  <si>
    <t>Treasury Shares - Common Issue 4</t>
  </si>
  <si>
    <t>Total Preferred Shares Outstanding</t>
  </si>
  <si>
    <t>Treasury Shares - Preferred Issue 1</t>
  </si>
  <si>
    <t>Treasury Shares - Preferred Issue 2</t>
  </si>
  <si>
    <t>Treasury Shares - Preferred Issue 3</t>
  </si>
  <si>
    <t>Treasury Shares - Preferred Issue 4</t>
  </si>
  <si>
    <t>Treasury Shares - Preferred Issue 5</t>
  </si>
  <si>
    <t>Treasury Shares - Preferred Issue 6</t>
  </si>
  <si>
    <t>Minority Interest - Redeemable</t>
  </si>
  <si>
    <t>Minority Interest - Non Redeemable</t>
  </si>
  <si>
    <t>Total Equity &amp; Minority Interest</t>
  </si>
  <si>
    <t>Full-Time Employees</t>
  </si>
  <si>
    <t>Part-Time Employees</t>
  </si>
  <si>
    <t>Number of Common Shareholders</t>
  </si>
  <si>
    <t>Other Property/Plant/Equipment - Net</t>
  </si>
  <si>
    <t>Intangibles - Net</t>
  </si>
  <si>
    <t>Goodwill - Net</t>
  </si>
  <si>
    <t>Accumulated Goodwill Amortization Suppl.</t>
  </si>
  <si>
    <t>Accumulated Intangible Amort, Suppl.</t>
  </si>
  <si>
    <t>Wgt Avg Rem Lease Term (Yrs)-Oper Lease</t>
  </si>
  <si>
    <t>Wgt Avg Rem Lease Term (Yrs)-Fin Lease</t>
  </si>
  <si>
    <t>Wgt Avg Disc Rate - Operating Lease</t>
  </si>
  <si>
    <t>Wgt Avg Disc Rate - Finance Lease</t>
  </si>
  <si>
    <t>Right-of-Use Assets-Cap.Lease,Net-Suppl.</t>
  </si>
  <si>
    <t>Right-of-Use Assets-Cap.Lease,Gross-Sup.</t>
  </si>
  <si>
    <t>Right-of-Use Assets-Cap.Lease,Depr.-Sup.</t>
  </si>
  <si>
    <t>Right-of-Use Assets-Op.Lease, Net-Suppl.</t>
  </si>
  <si>
    <t>Right-of-Use Assets-Op.Lease, Gross-Sup.</t>
  </si>
  <si>
    <t>Right-of-Use Assets-Op.Lease, Depr.-Sup.</t>
  </si>
  <si>
    <t>Non-Current Marketable Securities,Suppl.</t>
  </si>
  <si>
    <t>Contract Assets - Short Term</t>
  </si>
  <si>
    <t>Contract Assets - Long Term</t>
  </si>
  <si>
    <t>Deferred Revenue - Current</t>
  </si>
  <si>
    <t>Deferred Revenue - Long Term</t>
  </si>
  <si>
    <t>Short Term Debt Financial Sector, Suppl.</t>
  </si>
  <si>
    <t>Curr Port - LTD/Cap Lse Fin Sec., Suppl.</t>
  </si>
  <si>
    <t>Long Term Debt Financial Sector, Suppl.</t>
  </si>
  <si>
    <t>Capital Lease Oblig. - Fin Sector, Suppl</t>
  </si>
  <si>
    <t>Curr. Port. of LT Capital Leases, Suppl.</t>
  </si>
  <si>
    <t>Curr Port of LT Operating Leases, Suppl.</t>
  </si>
  <si>
    <t>Long-Term Operating Lease Liabs., Suppl.</t>
  </si>
  <si>
    <t>Curr Derivative Liab. Hedging, Suppl.</t>
  </si>
  <si>
    <t>Curr Derivative Liab. Spec./Trdg, Suppl.</t>
  </si>
  <si>
    <t>Non-Curr Derivative Liab. Hedging, Suppl</t>
  </si>
  <si>
    <t>Non-Curr Derivative Liab Spec/Trdg Suppl</t>
  </si>
  <si>
    <t>Leverage Ratio (Basel 3)</t>
  </si>
  <si>
    <t>Net Stable Funding Ratio (Basel 3)</t>
  </si>
  <si>
    <t>Liquidity Coverage Ratio (Basel 3)</t>
  </si>
  <si>
    <t>Capital Adequacy - Core Tier 1 (Value)</t>
  </si>
  <si>
    <t>Capital Adequacy - Hybrid Tier 1 (Value)</t>
  </si>
  <si>
    <t>Capital Adequacy -Tier 1 Capital (Value)</t>
  </si>
  <si>
    <t>Capital Adequacy -Tier 2 Capital (Value)</t>
  </si>
  <si>
    <t>Capital Adequacy -Tier 3 Capital (Value)</t>
  </si>
  <si>
    <t>Capital Adequacy - Total Capital (Value)</t>
  </si>
  <si>
    <t>Total Risk-Weighted Capital</t>
  </si>
  <si>
    <t>Capital Adequacy - Core Tier 1 Capital %</t>
  </si>
  <si>
    <t>Capital Adequacy - Tier 1 Capital %</t>
  </si>
  <si>
    <t>Capital Adequacy - Tier 2 Capital %</t>
  </si>
  <si>
    <t>Capital Adequacy - Tier 3 Capital %</t>
  </si>
  <si>
    <t>Capital Adequacy - Total Capital %</t>
  </si>
  <si>
    <t>Trading Account</t>
  </si>
  <si>
    <t>Credit Exposure</t>
  </si>
  <si>
    <t>Non-Performing Loans</t>
  </si>
  <si>
    <t>Assets under Management</t>
  </si>
  <si>
    <t>Loans - Stage 1 - Gross, Total</t>
  </si>
  <si>
    <t>Loans - Stage 2 - Gross, Total</t>
  </si>
  <si>
    <t>Loans - Stage 3 - Gross, Total</t>
  </si>
  <si>
    <t>Total Current Assets less Inventory</t>
  </si>
  <si>
    <t>Revolving Line of Credit - Outstanding</t>
  </si>
  <si>
    <t>Rvlvng Line of Credit - Principal Amount</t>
  </si>
  <si>
    <t>Rvlvng Line of Credit - Unused Amount</t>
  </si>
  <si>
    <t>Net Debt Incl. Pref.Stock &amp; Min.Interest</t>
  </si>
  <si>
    <t>Tangible Book Value, Common Equity</t>
  </si>
  <si>
    <t>Reported Total Assets</t>
  </si>
  <si>
    <t>Reported Total Liabilities</t>
  </si>
  <si>
    <t>Shareholders' Equity Excl. Stock Subscr.</t>
  </si>
  <si>
    <t>Reported Shareholder's Equity</t>
  </si>
  <si>
    <t>Reported Net Assets</t>
  </si>
  <si>
    <t>Reported Net Assets to Total Assets</t>
  </si>
  <si>
    <t>Reported Return on Assets</t>
  </si>
  <si>
    <t>Reported Return on Equity</t>
  </si>
  <si>
    <t>Islamic Investments &amp; Deposits</t>
  </si>
  <si>
    <t>Islamic Receivables</t>
  </si>
  <si>
    <t>Islamic Debt</t>
  </si>
  <si>
    <t>Debt &amp; Lease, Pension Items ($ Millions)</t>
  </si>
  <si>
    <t>Total Long Term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</si>
  <si>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</si>
  <si>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</si>
  <si>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</si>
  <si>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</si>
  <si>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</si>
  <si>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2-3 Years</t>
  </si>
  <si>
    <t>Long Term Debt Maturing in 4-5 Years</t>
  </si>
  <si>
    <t>Long Term Debt Matur. in Year 6 &amp; Beyond</t>
  </si>
  <si>
    <t>Total Capital Leases, Supplemental</t>
  </si>
  <si>
    <t>Interest Costs</t>
  </si>
  <si>
    <t>Capital Lease Payments Due in Year 1</t>
  </si>
  <si>
    <t>Capital Lease Payments Due in Year 2</t>
  </si>
  <si>
    <t>Capital Lease Payments Due in Year 3</t>
  </si>
  <si>
    <t>Capital Lease Payments Due in Year 4</t>
  </si>
  <si>
    <t>Capital Lease Payments Due in Year 5</t>
  </si>
  <si>
    <t>Capital Lease Payments Due in 2-3 Years</t>
  </si>
  <si>
    <t>Capital Lease Payments Due in 4-5 Years</t>
  </si>
  <si>
    <t>Cap. Lease Pymts. Due in Year 6 &amp; Beyond</t>
  </si>
  <si>
    <t>Total Operating Leases, Supplemental</t>
  </si>
  <si>
    <t>Operating Lease Payments Due in Year 1</t>
  </si>
  <si>
    <t>Operating Lease Payments Due in Year 2</t>
  </si>
  <si>
    <t>Operating Lease Payments Due in Year 3</t>
  </si>
  <si>
    <t>Operating Lease Payments Due in Year 4</t>
  </si>
  <si>
    <t>Operating Lease Payments Due in Year 5</t>
  </si>
  <si>
    <t>Operating Lease Pymts. Due in 2-3 Years</t>
  </si>
  <si>
    <t>Operating Lease Pymts. Due in 4-5 Years</t>
  </si>
  <si>
    <t>Oper. Lse. Pymts. Due in Year 6 &amp; Beyond</t>
  </si>
  <si>
    <t>Operating Leases - Interest Cost</t>
  </si>
  <si>
    <t>Total Funded Status</t>
  </si>
  <si>
    <t>Period End Assumptions</t>
  </si>
  <si>
    <t>Net Assets Recognized on Balance Sheet</t>
  </si>
  <si>
    <t>Asset Allocation</t>
  </si>
  <si>
    <t>Total Plan Obligations</t>
  </si>
  <si>
    <t>Total Plan Assets</t>
  </si>
  <si>
    <t>FY2021</t>
  </si>
  <si>
    <t>FY2020</t>
  </si>
  <si>
    <t>FY2019</t>
  </si>
  <si>
    <t>FY2018</t>
  </si>
  <si>
    <t>Asset Turnover</t>
  </si>
  <si>
    <t>Quick Ratio</t>
  </si>
  <si>
    <t>Times Interest Earned</t>
  </si>
  <si>
    <t>Cash Cycle</t>
  </si>
  <si>
    <t>MSFT.O</t>
  </si>
  <si>
    <t>.SPX</t>
  </si>
  <si>
    <t>YTD</t>
  </si>
  <si>
    <t>QTD</t>
  </si>
  <si>
    <t>MTD</t>
  </si>
  <si>
    <t>WTD</t>
  </si>
  <si>
    <t>Date</t>
  </si>
  <si>
    <t>Returns</t>
  </si>
  <si>
    <t>Concatenate the following two words with a space in between as a delimiter</t>
  </si>
  <si>
    <t>Robert</t>
  </si>
  <si>
    <t>Smith</t>
  </si>
  <si>
    <t>Answer</t>
  </si>
  <si>
    <t>Please use the below assumptions to answer the questions asked below</t>
  </si>
  <si>
    <t>Values for subject firm</t>
  </si>
  <si>
    <t>Values for peer group</t>
  </si>
  <si>
    <t>5-year EPS growth rate</t>
  </si>
  <si>
    <t>Median P/E</t>
  </si>
  <si>
    <t>Consensus EPS forecast</t>
  </si>
  <si>
    <t>Median PEG</t>
  </si>
  <si>
    <t>Current stock price</t>
  </si>
  <si>
    <t>P/E for subject firm</t>
  </si>
  <si>
    <t>PEG for subject firm</t>
  </si>
  <si>
    <t>Calculating the PEG</t>
  </si>
  <si>
    <t>Volume (MSFT)</t>
  </si>
  <si>
    <t>Populate a Price Line Chart and volume bar chart (in single chart) using price data provided.  Plot the same in "Prices" tab.</t>
  </si>
  <si>
    <t>Transpose the below data in space provided</t>
  </si>
  <si>
    <t>Dates</t>
  </si>
  <si>
    <t>MSFT</t>
  </si>
  <si>
    <t>Par Value</t>
  </si>
  <si>
    <t xml:space="preserve">Coupon </t>
  </si>
  <si>
    <t>Maturity</t>
  </si>
  <si>
    <t>Payments</t>
  </si>
  <si>
    <t>1 per year</t>
  </si>
  <si>
    <t>Calculate the price of a bond which has a par value of Rs 1000 and coupon payment is 10% and the yield is 8%. The maturity of a bond is 5 years.</t>
  </si>
  <si>
    <t>Yield</t>
  </si>
  <si>
    <t>PV of Par Value</t>
  </si>
  <si>
    <t>PV of Bond</t>
  </si>
  <si>
    <t>Calculate 3 year daily beta using the prices provided in tab "Prices" . Show the required working in "Prices" tab after Column H.</t>
  </si>
  <si>
    <t>Populate a Price  Line Chart (in single chart) for both Microsoft &amp; S&amp;P 500 Index using price data provided in "Prices" tab. Plot the same in "Prices" tab.</t>
  </si>
  <si>
    <t>SPX Index</t>
  </si>
  <si>
    <t>From the statements provided (Tabs: "IS" and "BS") calculate the following. (Use excel linkings to show calculations and average data over the period for BS)</t>
  </si>
  <si>
    <t>Total time to complete the test: 90min</t>
  </si>
  <si>
    <t>Answer:</t>
  </si>
  <si>
    <t>Calculate YTD, QTD, MTD, WTD price performances (returns) for Microsoft based on the date mentioned in Cell E18, please make the calculations dynamic using excel. Use data in "Prices" tab.</t>
  </si>
  <si>
    <r>
      <t xml:space="preserve">Please use </t>
    </r>
    <r>
      <rPr>
        <b/>
        <sz val="11"/>
        <color theme="1"/>
        <rFont val="Calibri"/>
        <family val="2"/>
        <scheme val="minor"/>
      </rPr>
      <t>excel function</t>
    </r>
    <r>
      <rPr>
        <sz val="11"/>
        <color theme="1"/>
        <rFont val="Calibri"/>
        <family val="2"/>
        <scheme val="minor"/>
      </rPr>
      <t xml:space="preserve"> to do this</t>
    </r>
  </si>
  <si>
    <t>Inventory Turnover</t>
  </si>
  <si>
    <t>Receivables Turnover</t>
  </si>
  <si>
    <t>Payable Turnover</t>
  </si>
  <si>
    <t>Days of Sale O/s</t>
  </si>
  <si>
    <t>Days of Inv on Hand</t>
  </si>
  <si>
    <t>Days of Payable</t>
  </si>
  <si>
    <t>PV of CF year</t>
  </si>
  <si>
    <t xml:space="preserve"> </t>
  </si>
  <si>
    <t>Daily Retuns (%)</t>
  </si>
  <si>
    <t>Regression Beta (3Y 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</si>
</sst>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%;[Red]\(0.00%\)"/>
    <numFmt numFmtId="166" formatCode="#,##0.0_);[Red]\(#,##0.0\)"/>
    <numFmt numFmtId="167" formatCode="0.0%"/>
    <numFmt numFmtId="168" formatCode="&quot;$&quot;#,##0.00"/>
    <numFmt numFmtId="170" formatCode="0.000"/>
    <numFmt numFmtId="171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309724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2F4F9"/>
        <bgColor indexed="64"/>
      </patternFill>
    </fill>
    <fill>
      <patternFill patternType="solid">
        <fgColor rgb="FFC8D7DE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C1C1C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C1C1C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E5EBF4"/>
      </bottom>
      <diagonal/>
    </border>
    <border>
      <left/>
      <right style="medium">
        <color rgb="FFCCCCCC"/>
      </right>
      <top style="medium">
        <color rgb="FFC1C1C1"/>
      </top>
      <bottom style="medium">
        <color rgb="FFE5EBF4"/>
      </bottom>
      <diagonal/>
    </border>
    <border>
      <left/>
      <right/>
      <top style="medium">
        <color rgb="FFE5EBF4"/>
      </top>
      <bottom/>
      <diagonal/>
    </border>
    <border>
      <left/>
      <right/>
      <top style="medium">
        <color rgb="FFE5EBF4"/>
      </top>
      <bottom style="medium">
        <color rgb="FFE5EBF4"/>
      </bottom>
      <diagonal/>
    </border>
    <border>
      <left/>
      <right style="medium">
        <color rgb="FFCCCCCC"/>
      </right>
      <top style="medium">
        <color rgb="FFE5EBF4"/>
      </top>
      <bottom style="medium">
        <color rgb="FFE5EBF4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/>
      <bottom style="medium">
        <color rgb="FFE5EBF4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E5EBF4"/>
      </bottom>
      <diagonal/>
    </border>
    <border>
      <left style="medium">
        <color rgb="FFCCCCCC"/>
      </left>
      <right/>
      <top style="medium">
        <color rgb="FFE5EBF4"/>
      </top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3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38" fontId="3" fillId="3" borderId="8" xfId="0" applyNumberFormat="1" applyFont="1" applyFill="1" applyBorder="1" applyAlignment="1">
      <alignment horizontal="right"/>
    </xf>
    <xf numFmtId="38" fontId="3" fillId="6" borderId="8" xfId="0" applyNumberFormat="1" applyFont="1" applyFill="1" applyBorder="1" applyAlignment="1">
      <alignment horizontal="right" wrapText="1"/>
    </xf>
    <xf numFmtId="38" fontId="3" fillId="3" borderId="8" xfId="0" applyNumberFormat="1" applyFont="1" applyFill="1" applyBorder="1" applyAlignment="1">
      <alignment horizontal="right" wrapText="1"/>
    </xf>
    <xf numFmtId="38" fontId="3" fillId="0" borderId="8" xfId="0" applyNumberFormat="1" applyFont="1" applyBorder="1" applyAlignment="1">
      <alignment horizontal="right" wrapText="1"/>
    </xf>
    <xf numFmtId="0" fontId="3" fillId="0" borderId="8" xfId="0" applyFont="1" applyBorder="1" applyAlignment="1">
      <alignment horizontal="left" wrapText="1"/>
    </xf>
    <xf numFmtId="40" fontId="3" fillId="0" borderId="8" xfId="0" applyNumberFormat="1" applyFont="1" applyBorder="1" applyAlignment="1">
      <alignment horizontal="right" wrapText="1"/>
    </xf>
    <xf numFmtId="0" fontId="3" fillId="8" borderId="0" xfId="0" applyFont="1" applyFill="1" applyAlignment="1">
      <alignment horizontal="left"/>
    </xf>
    <xf numFmtId="165" fontId="3" fillId="0" borderId="8" xfId="0" applyNumberFormat="1" applyFont="1" applyBorder="1" applyAlignment="1">
      <alignment horizontal="right" wrapText="1"/>
    </xf>
    <xf numFmtId="0" fontId="4" fillId="2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left" indent="2"/>
    </xf>
    <xf numFmtId="0" fontId="3" fillId="0" borderId="11" xfId="0" applyFont="1" applyBorder="1" applyAlignment="1">
      <alignment horizontal="left"/>
    </xf>
    <xf numFmtId="0" fontId="1" fillId="0" borderId="0" xfId="0" applyFont="1"/>
    <xf numFmtId="14" fontId="0" fillId="0" borderId="0" xfId="0" applyNumberFormat="1"/>
    <xf numFmtId="0" fontId="0" fillId="0" borderId="17" xfId="0" applyBorder="1"/>
    <xf numFmtId="14" fontId="7" fillId="0" borderId="0" xfId="0" applyNumberFormat="1" applyFont="1" applyAlignment="1">
      <alignment horizontal="left"/>
    </xf>
    <xf numFmtId="0" fontId="8" fillId="0" borderId="0" xfId="0" applyFont="1"/>
    <xf numFmtId="9" fontId="3" fillId="0" borderId="0" xfId="0" applyNumberFormat="1" applyFont="1"/>
    <xf numFmtId="167" fontId="3" fillId="0" borderId="0" xfId="1" applyNumberFormat="1" applyFont="1" applyAlignment="1"/>
    <xf numFmtId="164" fontId="3" fillId="0" borderId="0" xfId="1" applyFont="1" applyAlignment="1"/>
    <xf numFmtId="168" fontId="3" fillId="0" borderId="0" xfId="1" applyNumberFormat="1" applyFont="1" applyAlignment="1"/>
    <xf numFmtId="164" fontId="3" fillId="0" borderId="18" xfId="1" applyFont="1" applyBorder="1"/>
    <xf numFmtId="14" fontId="1" fillId="0" borderId="0" xfId="0" applyNumberFormat="1" applyFont="1" applyAlignment="1">
      <alignment horizontal="left"/>
    </xf>
    <xf numFmtId="0" fontId="4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0" fontId="10" fillId="0" borderId="0" xfId="0" applyFont="1"/>
    <xf numFmtId="1" fontId="0" fillId="0" borderId="0" xfId="0" applyNumberFormat="1"/>
    <xf numFmtId="1" fontId="0" fillId="0" borderId="17" xfId="0" applyNumberFormat="1" applyBorder="1"/>
    <xf numFmtId="170" fontId="0" fillId="0" borderId="0" xfId="0" applyNumberFormat="1"/>
    <xf numFmtId="171" fontId="0" fillId="0" borderId="0" xfId="0" applyNumberFormat="1"/>
    <xf numFmtId="0" fontId="11" fillId="0" borderId="0" xfId="0" applyFont="1"/>
    <xf numFmtId="10" fontId="0" fillId="0" borderId="0" xfId="0" applyNumberFormat="1"/>
    <xf numFmtId="2" fontId="0" fillId="0" borderId="17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38" fontId="3" fillId="3" borderId="8" xfId="0" applyNumberFormat="1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3" fillId="6" borderId="9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38" fontId="3" fillId="6" borderId="8" xfId="0" applyNumberFormat="1" applyFont="1" applyFill="1" applyBorder="1" applyAlignment="1">
      <alignment horizontal="right" vertical="center" wrapText="1"/>
    </xf>
    <xf numFmtId="0" fontId="3" fillId="7" borderId="9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38" fontId="3" fillId="3" borderId="8" xfId="0" applyNumberFormat="1" applyFont="1" applyFill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38" fontId="3" fillId="0" borderId="8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40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165" fontId="3" fillId="0" borderId="8" xfId="0" applyNumberFormat="1" applyFont="1" applyBorder="1" applyAlignment="1">
      <alignment horizontal="right" vertical="center" wrapText="1"/>
    </xf>
    <xf numFmtId="0" fontId="3" fillId="8" borderId="12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166" fontId="3" fillId="6" borderId="8" xfId="0" applyNumberFormat="1" applyFont="1" applyFill="1" applyBorder="1" applyAlignment="1">
      <alignment horizontal="righ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13" xfId="0" applyFont="1" applyFill="1" applyBorder="1" applyAlignment="1">
      <alignment horizontal="left" vertical="center" wrapText="1"/>
    </xf>
    <xf numFmtId="38" fontId="3" fillId="3" borderId="0" xfId="0" applyNumberFormat="1" applyFont="1" applyFill="1" applyAlignment="1">
      <alignment horizontal="righ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left" vertical="center" wrapText="1"/>
    </xf>
    <xf numFmtId="38" fontId="3" fillId="3" borderId="15" xfId="0" applyNumberFormat="1" applyFont="1" applyFill="1" applyBorder="1" applyAlignment="1">
      <alignment horizontal="right" vertical="center" wrapText="1"/>
    </xf>
    <xf numFmtId="38" fontId="3" fillId="3" borderId="8" xfId="0" applyNumberFormat="1" applyFont="1" applyFill="1" applyBorder="1" applyAlignment="1">
      <alignment horizontal="right" vertical="center" wrapText="1"/>
    </xf>
    <xf numFmtId="38" fontId="3" fillId="3" borderId="16" xfId="0" applyNumberFormat="1" applyFont="1" applyFill="1" applyBorder="1" applyAlignment="1">
      <alignment horizontal="right" vertical="center" wrapText="1"/>
    </xf>
    <xf numFmtId="38" fontId="3" fillId="3" borderId="0" xfId="0" applyNumberFormat="1" applyFont="1" applyFill="1" applyAlignment="1">
      <alignment horizontal="right" vertical="center" wrapText="1"/>
    </xf>
    <xf numFmtId="0" fontId="3" fillId="8" borderId="0" xfId="0" applyFont="1" applyFill="1" applyAlignment="1">
      <alignment horizontal="left"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left" vertical="center" wrapText="1"/>
    </xf>
    <xf numFmtId="10" fontId="0" fillId="0" borderId="17" xfId="2" applyNumberFormat="1" applyFont="1" applyBorder="1"/>
    <xf numFmtId="40" fontId="0" fillId="0" borderId="17" xfId="0" applyNumberFormat="1" applyBorder="1"/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10" fontId="1" fillId="0" borderId="17" xfId="2" applyNumberFormat="1" applyFont="1" applyBorder="1"/>
    <xf numFmtId="2" fontId="1" fillId="9" borderId="17" xfId="0" applyNumberFormat="1" applyFont="1" applyFill="1" applyBorder="1"/>
    <xf numFmtId="0" fontId="1" fillId="9" borderId="17" xfId="0" applyFont="1" applyFill="1" applyBorder="1" applyAlignment="1">
      <alignment horizontal="left"/>
    </xf>
    <xf numFmtId="0" fontId="0" fillId="0" borderId="0" xfId="0" applyBorder="1"/>
    <xf numFmtId="14" fontId="0" fillId="0" borderId="17" xfId="0" applyNumberFormat="1" applyBorder="1"/>
    <xf numFmtId="10" fontId="0" fillId="0" borderId="17" xfId="0" applyNumberFormat="1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1" fillId="0" borderId="19" xfId="0" applyNumberFormat="1" applyFont="1" applyBorder="1" applyAlignment="1">
      <alignment horizontal="right" vertical="center"/>
    </xf>
    <xf numFmtId="14" fontId="1" fillId="0" borderId="20" xfId="0" applyNumberFormat="1" applyFont="1" applyBorder="1" applyAlignment="1">
      <alignment horizontal="right" vertical="center"/>
    </xf>
    <xf numFmtId="14" fontId="1" fillId="0" borderId="21" xfId="0" applyNumberFormat="1" applyFont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3" xfId="0" applyBorder="1" applyAlignment="1">
      <alignment horizontal="right" vertical="center"/>
    </xf>
    <xf numFmtId="164" fontId="3" fillId="0" borderId="18" xfId="1" applyNumberFormat="1" applyFont="1" applyBorder="1"/>
  </cellXfs>
  <cellStyles count="3">
    <cellStyle name="Comma 3" xfId="1" xr:uid="{00000000-0005-0000-0000-000000000000}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3B16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MSFT</a:t>
            </a:r>
            <a:r>
              <a:rPr lang="en-GB" baseline="0"/>
              <a:t> Price/Volume </a:t>
            </a:r>
            <a:r>
              <a:rPr lang="en-GB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Prices!$F$3</c:f>
              <c:strCache>
                <c:ptCount val="1"/>
                <c:pt idx="0">
                  <c:v>Volume (MSFT)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val>
            <c:numRef>
              <c:f>Prices!$F$4:$F$1047</c:f>
              <c:numCache>
                <c:formatCode>General</c:formatCode>
                <c:ptCount val="1044"/>
                <c:pt idx="0">
                  <c:v>63499.1</c:v>
                </c:pt>
                <c:pt idx="1">
                  <c:v>35720.300000000003</c:v>
                </c:pt>
                <c:pt idx="2">
                  <c:v>26407.7</c:v>
                </c:pt>
                <c:pt idx="3">
                  <c:v>34960.9</c:v>
                </c:pt>
                <c:pt idx="4">
                  <c:v>27823.9</c:v>
                </c:pt>
                <c:pt idx="5">
                  <c:v>30596.9</c:v>
                </c:pt>
                <c:pt idx="6">
                  <c:v>#N/A</c:v>
                </c:pt>
                <c:pt idx="7">
                  <c:v>30911.7</c:v>
                </c:pt>
                <c:pt idx="8">
                  <c:v>26922.5</c:v>
                </c:pt>
                <c:pt idx="9">
                  <c:v>24392.799999999999</c:v>
                </c:pt>
                <c:pt idx="10">
                  <c:v>26329.200000000001</c:v>
                </c:pt>
                <c:pt idx="11">
                  <c:v>30199.8</c:v>
                </c:pt>
                <c:pt idx="12">
                  <c:v>25869.1</c:v>
                </c:pt>
                <c:pt idx="13">
                  <c:v>31167.3</c:v>
                </c:pt>
                <c:pt idx="14">
                  <c:v>37135.599999999999</c:v>
                </c:pt>
                <c:pt idx="15">
                  <c:v>32830.400000000001</c:v>
                </c:pt>
                <c:pt idx="16">
                  <c:v>23901.599999999999</c:v>
                </c:pt>
                <c:pt idx="17">
                  <c:v>22175.8</c:v>
                </c:pt>
                <c:pt idx="18">
                  <c:v>26716.1</c:v>
                </c:pt>
                <c:pt idx="19">
                  <c:v>25887.8</c:v>
                </c:pt>
                <c:pt idx="20">
                  <c:v>36937.300000000003</c:v>
                </c:pt>
                <c:pt idx="21">
                  <c:v>26073.7</c:v>
                </c:pt>
                <c:pt idx="22">
                  <c:v>35387.800000000003</c:v>
                </c:pt>
                <c:pt idx="23">
                  <c:v>32132</c:v>
                </c:pt>
                <c:pt idx="24">
                  <c:v>27611</c:v>
                </c:pt>
                <c:pt idx="25">
                  <c:v>49081.3</c:v>
                </c:pt>
                <c:pt idx="26">
                  <c:v>33344.1</c:v>
                </c:pt>
                <c:pt idx="27">
                  <c:v>23075.200000000001</c:v>
                </c:pt>
                <c:pt idx="28">
                  <c:v>24457.1</c:v>
                </c:pt>
                <c:pt idx="29">
                  <c:v>38604.699999999997</c:v>
                </c:pt>
                <c:pt idx="30">
                  <c:v>44068.9</c:v>
                </c:pt>
                <c:pt idx="31">
                  <c:v>56396.800000000003</c:v>
                </c:pt>
                <c:pt idx="32">
                  <c:v>56569</c:v>
                </c:pt>
                <c:pt idx="33">
                  <c:v>52501.1</c:v>
                </c:pt>
                <c:pt idx="34">
                  <c:v>45867.5</c:v>
                </c:pt>
                <c:pt idx="35">
                  <c:v>#N/A</c:v>
                </c:pt>
                <c:pt idx="36">
                  <c:v>48515.4</c:v>
                </c:pt>
                <c:pt idx="37">
                  <c:v>37213.800000000003</c:v>
                </c:pt>
                <c:pt idx="38">
                  <c:v>35560</c:v>
                </c:pt>
                <c:pt idx="39">
                  <c:v>29771.9</c:v>
                </c:pt>
                <c:pt idx="40">
                  <c:v>38026</c:v>
                </c:pt>
                <c:pt idx="41">
                  <c:v>31533.9</c:v>
                </c:pt>
                <c:pt idx="42">
                  <c:v>26939.9</c:v>
                </c:pt>
                <c:pt idx="43">
                  <c:v>24872.1</c:v>
                </c:pt>
                <c:pt idx="44">
                  <c:v>26758.9</c:v>
                </c:pt>
                <c:pt idx="45">
                  <c:v>23346.1</c:v>
                </c:pt>
                <c:pt idx="46">
                  <c:v>20288.099999999999</c:v>
                </c:pt>
                <c:pt idx="47">
                  <c:v>26771</c:v>
                </c:pt>
                <c:pt idx="48">
                  <c:v>21043.3</c:v>
                </c:pt>
                <c:pt idx="49">
                  <c:v>23552.5</c:v>
                </c:pt>
                <c:pt idx="50">
                  <c:v>31154.400000000001</c:v>
                </c:pt>
                <c:pt idx="51">
                  <c:v>22331.8</c:v>
                </c:pt>
                <c:pt idx="52">
                  <c:v>34524.800000000003</c:v>
                </c:pt>
                <c:pt idx="53">
                  <c:v>33729.300000000003</c:v>
                </c:pt>
                <c:pt idx="54">
                  <c:v>42529</c:v>
                </c:pt>
                <c:pt idx="55">
                  <c:v>48272.800000000003</c:v>
                </c:pt>
                <c:pt idx="56">
                  <c:v>41523.599999999999</c:v>
                </c:pt>
                <c:pt idx="57">
                  <c:v>31408.9</c:v>
                </c:pt>
                <c:pt idx="58">
                  <c:v>27471</c:v>
                </c:pt>
                <c:pt idx="59">
                  <c:v>31142.5</c:v>
                </c:pt>
                <c:pt idx="60">
                  <c:v>22531.3</c:v>
                </c:pt>
                <c:pt idx="61">
                  <c:v>24242</c:v>
                </c:pt>
                <c:pt idx="62">
                  <c:v>23484.6</c:v>
                </c:pt>
                <c:pt idx="63">
                  <c:v>27327.4</c:v>
                </c:pt>
                <c:pt idx="64">
                  <c:v>22388.1</c:v>
                </c:pt>
                <c:pt idx="65">
                  <c:v>16778.3</c:v>
                </c:pt>
                <c:pt idx="66">
                  <c:v>19454.099999999999</c:v>
                </c:pt>
                <c:pt idx="67">
                  <c:v>24594</c:v>
                </c:pt>
                <c:pt idx="68">
                  <c:v>17384.7</c:v>
                </c:pt>
                <c:pt idx="69">
                  <c:v>17246.7</c:v>
                </c:pt>
                <c:pt idx="70">
                  <c:v>17865.8</c:v>
                </c:pt>
                <c:pt idx="71">
                  <c:v>19422.5</c:v>
                </c:pt>
                <c:pt idx="72">
                  <c:v>15441.2</c:v>
                </c:pt>
                <c:pt idx="73">
                  <c:v>21251.200000000001</c:v>
                </c:pt>
                <c:pt idx="74">
                  <c:v>26649.3</c:v>
                </c:pt>
                <c:pt idx="75">
                  <c:v>18363.900000000001</c:v>
                </c:pt>
                <c:pt idx="76">
                  <c:v>#N/A</c:v>
                </c:pt>
                <c:pt idx="77">
                  <c:v>28671</c:v>
                </c:pt>
                <c:pt idx="78">
                  <c:v>22158.5</c:v>
                </c:pt>
                <c:pt idx="79">
                  <c:v>34140.9</c:v>
                </c:pt>
                <c:pt idx="80">
                  <c:v>28655.599999999999</c:v>
                </c:pt>
                <c:pt idx="81">
                  <c:v>27281.599999999999</c:v>
                </c:pt>
                <c:pt idx="82">
                  <c:v>23514.400000000001</c:v>
                </c:pt>
                <c:pt idx="83">
                  <c:v>21122.9</c:v>
                </c:pt>
                <c:pt idx="84">
                  <c:v>28232.2</c:v>
                </c:pt>
                <c:pt idx="85">
                  <c:v>22165.1</c:v>
                </c:pt>
                <c:pt idx="86">
                  <c:v>23490.9</c:v>
                </c:pt>
                <c:pt idx="87">
                  <c:v>18325.2</c:v>
                </c:pt>
                <c:pt idx="88">
                  <c:v>29492.9</c:v>
                </c:pt>
                <c:pt idx="89">
                  <c:v>25691.8</c:v>
                </c:pt>
                <c:pt idx="90">
                  <c:v>65738.600000000006</c:v>
                </c:pt>
                <c:pt idx="91">
                  <c:v>23586</c:v>
                </c:pt>
                <c:pt idx="92">
                  <c:v>28653.1</c:v>
                </c:pt>
                <c:pt idx="93">
                  <c:v>26180.799999999999</c:v>
                </c:pt>
                <c:pt idx="94">
                  <c:v>23198.2</c:v>
                </c:pt>
                <c:pt idx="95">
                  <c:v>38923.1</c:v>
                </c:pt>
                <c:pt idx="96">
                  <c:v>35433.300000000003</c:v>
                </c:pt>
                <c:pt idx="97">
                  <c:v>26897.200000000001</c:v>
                </c:pt>
                <c:pt idx="98">
                  <c:v>31298.400000000001</c:v>
                </c:pt>
                <c:pt idx="99">
                  <c:v>26650.7</c:v>
                </c:pt>
                <c:pt idx="100">
                  <c:v>28053.200000000001</c:v>
                </c:pt>
                <c:pt idx="101">
                  <c:v>19564.5</c:v>
                </c:pt>
                <c:pt idx="102">
                  <c:v>14670.3</c:v>
                </c:pt>
                <c:pt idx="103">
                  <c:v>#N/A</c:v>
                </c:pt>
                <c:pt idx="104">
                  <c:v>18977.400000000001</c:v>
                </c:pt>
                <c:pt idx="105">
                  <c:v>19234.599999999999</c:v>
                </c:pt>
                <c:pt idx="106">
                  <c:v>18212</c:v>
                </c:pt>
                <c:pt idx="107">
                  <c:v>19293.099999999999</c:v>
                </c:pt>
                <c:pt idx="108">
                  <c:v>19644.599999999999</c:v>
                </c:pt>
                <c:pt idx="109">
                  <c:v>24335.9</c:v>
                </c:pt>
                <c:pt idx="110">
                  <c:v>24653.5</c:v>
                </c:pt>
                <c:pt idx="111">
                  <c:v>21786.9</c:v>
                </c:pt>
                <c:pt idx="112">
                  <c:v>25901.7</c:v>
                </c:pt>
                <c:pt idx="113">
                  <c:v>29493.9</c:v>
                </c:pt>
                <c:pt idx="114">
                  <c:v>40171.599999999999</c:v>
                </c:pt>
                <c:pt idx="115">
                  <c:v>56038.8</c:v>
                </c:pt>
                <c:pt idx="116">
                  <c:v>29707</c:v>
                </c:pt>
                <c:pt idx="117">
                  <c:v>26316.6</c:v>
                </c:pt>
                <c:pt idx="118">
                  <c:v>30798.1</c:v>
                </c:pt>
                <c:pt idx="119">
                  <c:v>31372.1</c:v>
                </c:pt>
                <c:pt idx="120">
                  <c:v>37005.300000000003</c:v>
                </c:pt>
                <c:pt idx="121">
                  <c:v>34668.300000000003</c:v>
                </c:pt>
                <c:pt idx="122">
                  <c:v>27655.200000000001</c:v>
                </c:pt>
                <c:pt idx="123">
                  <c:v>23628.7</c:v>
                </c:pt>
                <c:pt idx="124">
                  <c:v>26104.3</c:v>
                </c:pt>
                <c:pt idx="125">
                  <c:v>18659.599999999999</c:v>
                </c:pt>
                <c:pt idx="126">
                  <c:v>20265.900000000001</c:v>
                </c:pt>
                <c:pt idx="127">
                  <c:v>16080.2</c:v>
                </c:pt>
                <c:pt idx="128">
                  <c:v>15487.5</c:v>
                </c:pt>
                <c:pt idx="129">
                  <c:v>13677.2</c:v>
                </c:pt>
                <c:pt idx="130">
                  <c:v>18183.7</c:v>
                </c:pt>
                <c:pt idx="131">
                  <c:v>18474.900000000001</c:v>
                </c:pt>
                <c:pt idx="132">
                  <c:v>16788.3</c:v>
                </c:pt>
                <c:pt idx="133">
                  <c:v>29982.799999999999</c:v>
                </c:pt>
                <c:pt idx="134">
                  <c:v>21384.3</c:v>
                </c:pt>
                <c:pt idx="135">
                  <c:v>18061.5</c:v>
                </c:pt>
                <c:pt idx="136">
                  <c:v>17914.2</c:v>
                </c:pt>
                <c:pt idx="137">
                  <c:v>22881.9</c:v>
                </c:pt>
                <c:pt idx="138">
                  <c:v>18000.599999999999</c:v>
                </c:pt>
                <c:pt idx="139">
                  <c:v>18167.7</c:v>
                </c:pt>
                <c:pt idx="140">
                  <c:v>17234</c:v>
                </c:pt>
                <c:pt idx="141">
                  <c:v>19662.3</c:v>
                </c:pt>
                <c:pt idx="142">
                  <c:v>19151.5</c:v>
                </c:pt>
                <c:pt idx="143">
                  <c:v>20818</c:v>
                </c:pt>
                <c:pt idx="144">
                  <c:v>22798.7</c:v>
                </c:pt>
                <c:pt idx="145">
                  <c:v>23222.7</c:v>
                </c:pt>
                <c:pt idx="146">
                  <c:v>#N/A</c:v>
                </c:pt>
                <c:pt idx="147">
                  <c:v>22634.6</c:v>
                </c:pt>
                <c:pt idx="148">
                  <c:v>32872.400000000001</c:v>
                </c:pt>
                <c:pt idx="149">
                  <c:v>23477.599999999999</c:v>
                </c:pt>
                <c:pt idx="150">
                  <c:v>22498.6</c:v>
                </c:pt>
                <c:pt idx="151">
                  <c:v>20727.900000000001</c:v>
                </c:pt>
                <c:pt idx="152">
                  <c:v>24301.8</c:v>
                </c:pt>
                <c:pt idx="153">
                  <c:v>18891.099999999999</c:v>
                </c:pt>
                <c:pt idx="154">
                  <c:v>26055.599999999999</c:v>
                </c:pt>
                <c:pt idx="155">
                  <c:v>19122.3</c:v>
                </c:pt>
                <c:pt idx="156">
                  <c:v>20736.5</c:v>
                </c:pt>
                <c:pt idx="157">
                  <c:v>22170.9</c:v>
                </c:pt>
                <c:pt idx="158">
                  <c:v>21728.400000000001</c:v>
                </c:pt>
                <c:pt idx="159">
                  <c:v>23714.5</c:v>
                </c:pt>
                <c:pt idx="160">
                  <c:v>71229.7</c:v>
                </c:pt>
                <c:pt idx="161">
                  <c:v>27334.5</c:v>
                </c:pt>
                <c:pt idx="162">
                  <c:v>22668</c:v>
                </c:pt>
                <c:pt idx="163">
                  <c:v>19352</c:v>
                </c:pt>
                <c:pt idx="164">
                  <c:v>19091.3</c:v>
                </c:pt>
                <c:pt idx="165">
                  <c:v>21647.8</c:v>
                </c:pt>
                <c:pt idx="166">
                  <c:v>18883.099999999999</c:v>
                </c:pt>
                <c:pt idx="167">
                  <c:v>20787.2</c:v>
                </c:pt>
                <c:pt idx="168">
                  <c:v>16648</c:v>
                </c:pt>
                <c:pt idx="169">
                  <c:v>34821.699999999997</c:v>
                </c:pt>
                <c:pt idx="170">
                  <c:v>29068.9</c:v>
                </c:pt>
                <c:pt idx="171">
                  <c:v>29640.6</c:v>
                </c:pt>
                <c:pt idx="172">
                  <c:v>26198.6</c:v>
                </c:pt>
                <c:pt idx="173">
                  <c:v>61376.3</c:v>
                </c:pt>
                <c:pt idx="174">
                  <c:v>63904.3</c:v>
                </c:pt>
                <c:pt idx="175">
                  <c:v>47742.1</c:v>
                </c:pt>
                <c:pt idx="176">
                  <c:v>32068.1</c:v>
                </c:pt>
                <c:pt idx="177">
                  <c:v>31610.2</c:v>
                </c:pt>
                <c:pt idx="178">
                  <c:v>26548.2</c:v>
                </c:pt>
                <c:pt idx="179">
                  <c:v>32506.2</c:v>
                </c:pt>
                <c:pt idx="180">
                  <c:v>32785.5</c:v>
                </c:pt>
                <c:pt idx="181">
                  <c:v>26545.599999999999</c:v>
                </c:pt>
                <c:pt idx="182">
                  <c:v>43770.400000000001</c:v>
                </c:pt>
                <c:pt idx="183">
                  <c:v>63897.8</c:v>
                </c:pt>
                <c:pt idx="184">
                  <c:v>61646.8</c:v>
                </c:pt>
                <c:pt idx="185">
                  <c:v>55523.1</c:v>
                </c:pt>
                <c:pt idx="186">
                  <c:v>55162</c:v>
                </c:pt>
                <c:pt idx="187">
                  <c:v>65350.9</c:v>
                </c:pt>
                <c:pt idx="188">
                  <c:v>51062.400000000001</c:v>
                </c:pt>
                <c:pt idx="189">
                  <c:v>33384.199999999997</c:v>
                </c:pt>
                <c:pt idx="190">
                  <c:v>37680.199999999997</c:v>
                </c:pt>
                <c:pt idx="191">
                  <c:v>27922.1</c:v>
                </c:pt>
                <c:pt idx="192">
                  <c:v>24340.2</c:v>
                </c:pt>
                <c:pt idx="193">
                  <c:v>37901.699999999997</c:v>
                </c:pt>
                <c:pt idx="194">
                  <c:v>25644.1</c:v>
                </c:pt>
                <c:pt idx="195">
                  <c:v>32039.200000000001</c:v>
                </c:pt>
                <c:pt idx="196">
                  <c:v>33621.800000000003</c:v>
                </c:pt>
                <c:pt idx="197">
                  <c:v>35374.6</c:v>
                </c:pt>
                <c:pt idx="198">
                  <c:v>39495.1</c:v>
                </c:pt>
                <c:pt idx="199">
                  <c:v>38505.199999999997</c:v>
                </c:pt>
                <c:pt idx="200">
                  <c:v>33502.1</c:v>
                </c:pt>
                <c:pt idx="201">
                  <c:v>44773.9</c:v>
                </c:pt>
                <c:pt idx="202">
                  <c:v>64052.5</c:v>
                </c:pt>
                <c:pt idx="203">
                  <c:v>28130.6</c:v>
                </c:pt>
                <c:pt idx="204">
                  <c:v>#N/A</c:v>
                </c:pt>
                <c:pt idx="205">
                  <c:v>13823.1</c:v>
                </c:pt>
                <c:pt idx="206">
                  <c:v>32336.2</c:v>
                </c:pt>
                <c:pt idx="207">
                  <c:v>29124.5</c:v>
                </c:pt>
                <c:pt idx="208">
                  <c:v>46788.5</c:v>
                </c:pt>
                <c:pt idx="209">
                  <c:v>28123.200000000001</c:v>
                </c:pt>
                <c:pt idx="210">
                  <c:v>33665.599999999999</c:v>
                </c:pt>
                <c:pt idx="211">
                  <c:v>34732.800000000003</c:v>
                </c:pt>
                <c:pt idx="212">
                  <c:v>45197</c:v>
                </c:pt>
                <c:pt idx="213">
                  <c:v>#N/A</c:v>
                </c:pt>
                <c:pt idx="214">
                  <c:v>49107.4</c:v>
                </c:pt>
                <c:pt idx="215">
                  <c:v>45044.9</c:v>
                </c:pt>
                <c:pt idx="216">
                  <c:v>40801.5</c:v>
                </c:pt>
                <c:pt idx="217">
                  <c:v>42381.9</c:v>
                </c:pt>
                <c:pt idx="218">
                  <c:v>36183</c:v>
                </c:pt>
                <c:pt idx="219">
                  <c:v>31333.4</c:v>
                </c:pt>
                <c:pt idx="220">
                  <c:v>47043.1</c:v>
                </c:pt>
                <c:pt idx="221">
                  <c:v>56957.3</c:v>
                </c:pt>
                <c:pt idx="222">
                  <c:v>49319.199999999997</c:v>
                </c:pt>
                <c:pt idx="223">
                  <c:v>68198.2</c:v>
                </c:pt>
                <c:pt idx="224">
                  <c:v>70334.2</c:v>
                </c:pt>
                <c:pt idx="225">
                  <c:v>111242.1</c:v>
                </c:pt>
                <c:pt idx="226">
                  <c:v>43935.199999999997</c:v>
                </c:pt>
                <c:pt idx="227">
                  <c:v>#N/A</c:v>
                </c:pt>
                <c:pt idx="228">
                  <c:v>51634.8</c:v>
                </c:pt>
                <c:pt idx="229">
                  <c:v>49498.5</c:v>
                </c:pt>
                <c:pt idx="230">
                  <c:v>38169.300000000003</c:v>
                </c:pt>
                <c:pt idx="231">
                  <c:v>33173.800000000003</c:v>
                </c:pt>
                <c:pt idx="232">
                  <c:v>#N/A</c:v>
                </c:pt>
                <c:pt idx="233">
                  <c:v>35329.300000000003</c:v>
                </c:pt>
                <c:pt idx="234">
                  <c:v>42578.400000000001</c:v>
                </c:pt>
                <c:pt idx="235">
                  <c:v>44060.6</c:v>
                </c:pt>
                <c:pt idx="236">
                  <c:v>35656.1</c:v>
                </c:pt>
                <c:pt idx="237">
                  <c:v>31514.400000000001</c:v>
                </c:pt>
                <c:pt idx="238">
                  <c:v>32280.799999999999</c:v>
                </c:pt>
                <c:pt idx="239">
                  <c:v>30067.599999999999</c:v>
                </c:pt>
                <c:pt idx="240">
                  <c:v>28314.2</c:v>
                </c:pt>
                <c:pt idx="241">
                  <c:v>28437.1</c:v>
                </c:pt>
                <c:pt idx="242">
                  <c:v>31587.599999999999</c:v>
                </c:pt>
                <c:pt idx="243">
                  <c:v>29853.9</c:v>
                </c:pt>
                <c:pt idx="244">
                  <c:v>28393</c:v>
                </c:pt>
                <c:pt idx="245">
                  <c:v>37427.599999999999</c:v>
                </c:pt>
                <c:pt idx="246">
                  <c:v>#N/A</c:v>
                </c:pt>
                <c:pt idx="247">
                  <c:v>32371.3</c:v>
                </c:pt>
                <c:pt idx="248">
                  <c:v>25874.3</c:v>
                </c:pt>
                <c:pt idx="249">
                  <c:v>23164.799999999999</c:v>
                </c:pt>
                <c:pt idx="250">
                  <c:v>31218.2</c:v>
                </c:pt>
                <c:pt idx="251">
                  <c:v>29476.7</c:v>
                </c:pt>
                <c:pt idx="252">
                  <c:v>31490.5</c:v>
                </c:pt>
                <c:pt idx="253">
                  <c:v>49471.9</c:v>
                </c:pt>
                <c:pt idx="254">
                  <c:v>55636.4</c:v>
                </c:pt>
                <c:pt idx="255">
                  <c:v>35535.699999999997</c:v>
                </c:pt>
                <c:pt idx="256">
                  <c:v>31315.3</c:v>
                </c:pt>
                <c:pt idx="257">
                  <c:v>27325.4</c:v>
                </c:pt>
                <c:pt idx="258">
                  <c:v>20609.8</c:v>
                </c:pt>
                <c:pt idx="259">
                  <c:v>29760.7</c:v>
                </c:pt>
                <c:pt idx="260">
                  <c:v>21461.1</c:v>
                </c:pt>
                <c:pt idx="261">
                  <c:v>18914.099999999999</c:v>
                </c:pt>
                <c:pt idx="262">
                  <c:v>25056.6</c:v>
                </c:pt>
                <c:pt idx="263">
                  <c:v>18394.900000000001</c:v>
                </c:pt>
                <c:pt idx="264">
                  <c:v>21784.7</c:v>
                </c:pt>
                <c:pt idx="265">
                  <c:v>26606.9</c:v>
                </c:pt>
                <c:pt idx="266">
                  <c:v>#N/A</c:v>
                </c:pt>
                <c:pt idx="267">
                  <c:v>18038.5</c:v>
                </c:pt>
                <c:pt idx="268">
                  <c:v>21607.7</c:v>
                </c:pt>
                <c:pt idx="269">
                  <c:v>29063.200000000001</c:v>
                </c:pt>
                <c:pt idx="270">
                  <c:v>27763.200000000001</c:v>
                </c:pt>
                <c:pt idx="271">
                  <c:v>23750.6</c:v>
                </c:pt>
                <c:pt idx="272">
                  <c:v>21536.7</c:v>
                </c:pt>
                <c:pt idx="273">
                  <c:v>21487.1</c:v>
                </c:pt>
                <c:pt idx="274">
                  <c:v>29083.9</c:v>
                </c:pt>
                <c:pt idx="275">
                  <c:v>23501.200000000001</c:v>
                </c:pt>
                <c:pt idx="276">
                  <c:v>26608</c:v>
                </c:pt>
                <c:pt idx="277">
                  <c:v>19538.3</c:v>
                </c:pt>
                <c:pt idx="278">
                  <c:v>17687</c:v>
                </c:pt>
                <c:pt idx="279">
                  <c:v>25339</c:v>
                </c:pt>
                <c:pt idx="280">
                  <c:v>22818.400000000001</c:v>
                </c:pt>
                <c:pt idx="281">
                  <c:v>26491.599999999999</c:v>
                </c:pt>
                <c:pt idx="282">
                  <c:v>26132.7</c:v>
                </c:pt>
                <c:pt idx="283">
                  <c:v>35513.800000000003</c:v>
                </c:pt>
                <c:pt idx="284">
                  <c:v>30763.4</c:v>
                </c:pt>
                <c:pt idx="285">
                  <c:v>54630.7</c:v>
                </c:pt>
                <c:pt idx="286">
                  <c:v>31207.599999999999</c:v>
                </c:pt>
                <c:pt idx="287">
                  <c:v>37588.699999999997</c:v>
                </c:pt>
                <c:pt idx="288">
                  <c:v>28113.3</c:v>
                </c:pt>
                <c:pt idx="289">
                  <c:v>29854.400000000001</c:v>
                </c:pt>
                <c:pt idx="290">
                  <c:v>33624.5</c:v>
                </c:pt>
                <c:pt idx="291">
                  <c:v>27067.1</c:v>
                </c:pt>
                <c:pt idx="292">
                  <c:v>26097.7</c:v>
                </c:pt>
                <c:pt idx="293">
                  <c:v>22733.4</c:v>
                </c:pt>
                <c:pt idx="294">
                  <c:v>18334.8</c:v>
                </c:pt>
                <c:pt idx="295">
                  <c:v>25399.8</c:v>
                </c:pt>
                <c:pt idx="296">
                  <c:v>22789.1</c:v>
                </c:pt>
                <c:pt idx="297">
                  <c:v>18142.3</c:v>
                </c:pt>
                <c:pt idx="298">
                  <c:v>22860.7</c:v>
                </c:pt>
                <c:pt idx="299">
                  <c:v>20112.8</c:v>
                </c:pt>
                <c:pt idx="300">
                  <c:v>15826.2</c:v>
                </c:pt>
                <c:pt idx="301">
                  <c:v>15116.2</c:v>
                </c:pt>
                <c:pt idx="302">
                  <c:v>17612</c:v>
                </c:pt>
                <c:pt idx="303">
                  <c:v>16477.2</c:v>
                </c:pt>
                <c:pt idx="304">
                  <c:v>14209.1</c:v>
                </c:pt>
                <c:pt idx="305">
                  <c:v>19745.099999999999</c:v>
                </c:pt>
                <c:pt idx="306">
                  <c:v>15792.6</c:v>
                </c:pt>
                <c:pt idx="307">
                  <c:v>14071.8</c:v>
                </c:pt>
                <c:pt idx="308">
                  <c:v>19300.900000000001</c:v>
                </c:pt>
                <c:pt idx="309">
                  <c:v>27991</c:v>
                </c:pt>
                <c:pt idx="310">
                  <c:v>#N/A</c:v>
                </c:pt>
                <c:pt idx="311">
                  <c:v>15648.7</c:v>
                </c:pt>
                <c:pt idx="312">
                  <c:v>24025.5</c:v>
                </c:pt>
                <c:pt idx="313">
                  <c:v>31257</c:v>
                </c:pt>
                <c:pt idx="314">
                  <c:v>38033.9</c:v>
                </c:pt>
                <c:pt idx="315">
                  <c:v>23654.9</c:v>
                </c:pt>
                <c:pt idx="316">
                  <c:v>16324.2</c:v>
                </c:pt>
                <c:pt idx="317">
                  <c:v>24166.5</c:v>
                </c:pt>
                <c:pt idx="318">
                  <c:v>26821.7</c:v>
                </c:pt>
                <c:pt idx="319">
                  <c:v>27350.2</c:v>
                </c:pt>
                <c:pt idx="320">
                  <c:v>24911.1</c:v>
                </c:pt>
                <c:pt idx="321">
                  <c:v>24239.5</c:v>
                </c:pt>
                <c:pt idx="322">
                  <c:v>36017.699999999997</c:v>
                </c:pt>
                <c:pt idx="323">
                  <c:v>28419</c:v>
                </c:pt>
                <c:pt idx="324">
                  <c:v>27235.8</c:v>
                </c:pt>
                <c:pt idx="325">
                  <c:v>30915.1</c:v>
                </c:pt>
                <c:pt idx="326">
                  <c:v>33944.9</c:v>
                </c:pt>
                <c:pt idx="327">
                  <c:v>25266.3</c:v>
                </c:pt>
                <c:pt idx="328">
                  <c:v>24722.7</c:v>
                </c:pt>
                <c:pt idx="329">
                  <c:v>30112.2</c:v>
                </c:pt>
                <c:pt idx="330">
                  <c:v>25770.5</c:v>
                </c:pt>
                <c:pt idx="331">
                  <c:v>23706.9</c:v>
                </c:pt>
                <c:pt idx="332">
                  <c:v>15293.3</c:v>
                </c:pt>
                <c:pt idx="333">
                  <c:v>15396.5</c:v>
                </c:pt>
                <c:pt idx="334">
                  <c:v>23603.8</c:v>
                </c:pt>
                <c:pt idx="335">
                  <c:v>14123.4</c:v>
                </c:pt>
                <c:pt idx="336">
                  <c:v>#N/A</c:v>
                </c:pt>
                <c:pt idx="337">
                  <c:v>23128.400000000001</c:v>
                </c:pt>
                <c:pt idx="338">
                  <c:v>22763.1</c:v>
                </c:pt>
                <c:pt idx="339">
                  <c:v>16829.599999999999</c:v>
                </c:pt>
                <c:pt idx="340">
                  <c:v>26646.799999999999</c:v>
                </c:pt>
                <c:pt idx="341">
                  <c:v>37983.599999999999</c:v>
                </c:pt>
                <c:pt idx="342">
                  <c:v>29382.6</c:v>
                </c:pt>
                <c:pt idx="343">
                  <c:v>24926.1</c:v>
                </c:pt>
                <c:pt idx="344">
                  <c:v>21459</c:v>
                </c:pt>
                <c:pt idx="345">
                  <c:v>33885.599999999999</c:v>
                </c:pt>
                <c:pt idx="346">
                  <c:v>26477.1</c:v>
                </c:pt>
                <c:pt idx="347">
                  <c:v>23913.7</c:v>
                </c:pt>
                <c:pt idx="348">
                  <c:v>17092.5</c:v>
                </c:pt>
                <c:pt idx="349">
                  <c:v>17200.8</c:v>
                </c:pt>
                <c:pt idx="350">
                  <c:v>17821.7</c:v>
                </c:pt>
                <c:pt idx="351">
                  <c:v>14517.8</c:v>
                </c:pt>
                <c:pt idx="352">
                  <c:v>25934.5</c:v>
                </c:pt>
                <c:pt idx="353">
                  <c:v>23744.400000000001</c:v>
                </c:pt>
                <c:pt idx="354">
                  <c:v>33042.6</c:v>
                </c:pt>
                <c:pt idx="355">
                  <c:v>36727.9</c:v>
                </c:pt>
                <c:pt idx="356">
                  <c:v>20628.8</c:v>
                </c:pt>
                <c:pt idx="357">
                  <c:v>33327.4</c:v>
                </c:pt>
                <c:pt idx="358">
                  <c:v>23657.7</c:v>
                </c:pt>
                <c:pt idx="359">
                  <c:v>16557.5</c:v>
                </c:pt>
                <c:pt idx="360">
                  <c:v>30043</c:v>
                </c:pt>
                <c:pt idx="361">
                  <c:v>22654.2</c:v>
                </c:pt>
                <c:pt idx="362">
                  <c:v>15237.8</c:v>
                </c:pt>
                <c:pt idx="363">
                  <c:v>13629.3</c:v>
                </c:pt>
                <c:pt idx="364">
                  <c:v>#N/A</c:v>
                </c:pt>
                <c:pt idx="365">
                  <c:v>18141.099999999999</c:v>
                </c:pt>
                <c:pt idx="366">
                  <c:v>16779.7</c:v>
                </c:pt>
                <c:pt idx="367">
                  <c:v>19953.099999999999</c:v>
                </c:pt>
                <c:pt idx="368">
                  <c:v>24204.400000000001</c:v>
                </c:pt>
                <c:pt idx="369">
                  <c:v>22327.9</c:v>
                </c:pt>
                <c:pt idx="370">
                  <c:v>18936.8</c:v>
                </c:pt>
                <c:pt idx="371">
                  <c:v>16651.5</c:v>
                </c:pt>
                <c:pt idx="372">
                  <c:v>22726.1</c:v>
                </c:pt>
                <c:pt idx="373">
                  <c:v>20211</c:v>
                </c:pt>
                <c:pt idx="374">
                  <c:v>30808.7</c:v>
                </c:pt>
                <c:pt idx="375">
                  <c:v>48992.4</c:v>
                </c:pt>
                <c:pt idx="376">
                  <c:v>25080.799999999999</c:v>
                </c:pt>
                <c:pt idx="377">
                  <c:v>18034.599999999999</c:v>
                </c:pt>
                <c:pt idx="378">
                  <c:v>20738.3</c:v>
                </c:pt>
                <c:pt idx="379">
                  <c:v>18356.900000000001</c:v>
                </c:pt>
                <c:pt idx="380">
                  <c:v>19037.599999999999</c:v>
                </c:pt>
                <c:pt idx="381">
                  <c:v>16605.900000000001</c:v>
                </c:pt>
                <c:pt idx="382">
                  <c:v>16846.5</c:v>
                </c:pt>
                <c:pt idx="383">
                  <c:v>38598.800000000003</c:v>
                </c:pt>
                <c:pt idx="384">
                  <c:v>40557.5</c:v>
                </c:pt>
                <c:pt idx="385">
                  <c:v>30791.599999999999</c:v>
                </c:pt>
                <c:pt idx="386">
                  <c:v>42749.599999999999</c:v>
                </c:pt>
                <c:pt idx="387">
                  <c:v>32696.7</c:v>
                </c:pt>
                <c:pt idx="388">
                  <c:v>33414.5</c:v>
                </c:pt>
                <c:pt idx="389">
                  <c:v>27496.5</c:v>
                </c:pt>
                <c:pt idx="390">
                  <c:v>23466.7</c:v>
                </c:pt>
                <c:pt idx="391">
                  <c:v>20484.3</c:v>
                </c:pt>
                <c:pt idx="392">
                  <c:v>25496.6</c:v>
                </c:pt>
                <c:pt idx="393">
                  <c:v>32527.3</c:v>
                </c:pt>
                <c:pt idx="394">
                  <c:v>28125.4</c:v>
                </c:pt>
                <c:pt idx="395">
                  <c:v>25026.2</c:v>
                </c:pt>
                <c:pt idx="396">
                  <c:v>24370.5</c:v>
                </c:pt>
                <c:pt idx="397">
                  <c:v>21189</c:v>
                </c:pt>
                <c:pt idx="398">
                  <c:v>14982.3</c:v>
                </c:pt>
                <c:pt idx="399">
                  <c:v>18709.7</c:v>
                </c:pt>
                <c:pt idx="400">
                  <c:v>38515.4</c:v>
                </c:pt>
                <c:pt idx="401">
                  <c:v>20325.3</c:v>
                </c:pt>
                <c:pt idx="402">
                  <c:v>23115.599999999999</c:v>
                </c:pt>
                <c:pt idx="403">
                  <c:v>17410.8</c:v>
                </c:pt>
                <c:pt idx="404">
                  <c:v>20179.7</c:v>
                </c:pt>
                <c:pt idx="405">
                  <c:v>23946.1</c:v>
                </c:pt>
                <c:pt idx="406">
                  <c:v>#N/A</c:v>
                </c:pt>
                <c:pt idx="407">
                  <c:v>18880.8</c:v>
                </c:pt>
                <c:pt idx="408">
                  <c:v>18015.3</c:v>
                </c:pt>
                <c:pt idx="409">
                  <c:v>26119.5</c:v>
                </c:pt>
                <c:pt idx="410">
                  <c:v>20824.5</c:v>
                </c:pt>
                <c:pt idx="411">
                  <c:v>25773.9</c:v>
                </c:pt>
                <c:pt idx="412">
                  <c:v>28903.4</c:v>
                </c:pt>
                <c:pt idx="413">
                  <c:v>24726.1</c:v>
                </c:pt>
                <c:pt idx="414">
                  <c:v>27010</c:v>
                </c:pt>
                <c:pt idx="415">
                  <c:v>23363.1</c:v>
                </c:pt>
                <c:pt idx="416">
                  <c:v>16731.400000000001</c:v>
                </c:pt>
                <c:pt idx="417">
                  <c:v>17976.3</c:v>
                </c:pt>
                <c:pt idx="418">
                  <c:v>24473.4</c:v>
                </c:pt>
                <c:pt idx="419">
                  <c:v>36095.4</c:v>
                </c:pt>
                <c:pt idx="420">
                  <c:v>40040.800000000003</c:v>
                </c:pt>
                <c:pt idx="421">
                  <c:v>17408.400000000001</c:v>
                </c:pt>
                <c:pt idx="422">
                  <c:v>30016.7</c:v>
                </c:pt>
                <c:pt idx="423">
                  <c:v>22544.1</c:v>
                </c:pt>
                <c:pt idx="424">
                  <c:v>17813.5</c:v>
                </c:pt>
                <c:pt idx="425">
                  <c:v>22499</c:v>
                </c:pt>
                <c:pt idx="426">
                  <c:v>18430.400000000001</c:v>
                </c:pt>
                <c:pt idx="427">
                  <c:v>22581.9</c:v>
                </c:pt>
                <c:pt idx="428">
                  <c:v>32001.8</c:v>
                </c:pt>
                <c:pt idx="429">
                  <c:v>26379.8</c:v>
                </c:pt>
                <c:pt idx="430">
                  <c:v>23839.5</c:v>
                </c:pt>
                <c:pt idx="431">
                  <c:v>16601.3</c:v>
                </c:pt>
                <c:pt idx="432">
                  <c:v>26783.3</c:v>
                </c:pt>
                <c:pt idx="433">
                  <c:v>20178.5</c:v>
                </c:pt>
                <c:pt idx="434">
                  <c:v>18396.599999999999</c:v>
                </c:pt>
                <c:pt idx="435">
                  <c:v>25551.1</c:v>
                </c:pt>
                <c:pt idx="436">
                  <c:v>13591.6</c:v>
                </c:pt>
                <c:pt idx="437">
                  <c:v>19917.8</c:v>
                </c:pt>
                <c:pt idx="438">
                  <c:v>20841.7</c:v>
                </c:pt>
                <c:pt idx="439">
                  <c:v>22102.799999999999</c:v>
                </c:pt>
                <c:pt idx="440">
                  <c:v>32284.400000000001</c:v>
                </c:pt>
                <c:pt idx="441">
                  <c:v>20716</c:v>
                </c:pt>
                <c:pt idx="442">
                  <c:v>27935.3</c:v>
                </c:pt>
                <c:pt idx="443">
                  <c:v>31380.3</c:v>
                </c:pt>
                <c:pt idx="444">
                  <c:v>37278.400000000001</c:v>
                </c:pt>
                <c:pt idx="445">
                  <c:v>25959.7</c:v>
                </c:pt>
                <c:pt idx="446">
                  <c:v>35280.1</c:v>
                </c:pt>
                <c:pt idx="447">
                  <c:v>20589.5</c:v>
                </c:pt>
                <c:pt idx="448">
                  <c:v>18496.599999999999</c:v>
                </c:pt>
                <c:pt idx="449">
                  <c:v>24605.1</c:v>
                </c:pt>
                <c:pt idx="450">
                  <c:v>33128.400000000001</c:v>
                </c:pt>
                <c:pt idx="451">
                  <c:v>16912</c:v>
                </c:pt>
                <c:pt idx="452">
                  <c:v>18250.2</c:v>
                </c:pt>
                <c:pt idx="453">
                  <c:v>16575.8</c:v>
                </c:pt>
                <c:pt idx="454">
                  <c:v>17786.7</c:v>
                </c:pt>
                <c:pt idx="455">
                  <c:v>16752.900000000001</c:v>
                </c:pt>
                <c:pt idx="456">
                  <c:v>14370.2</c:v>
                </c:pt>
                <c:pt idx="457">
                  <c:v>18648.7</c:v>
                </c:pt>
                <c:pt idx="458">
                  <c:v>17444.2</c:v>
                </c:pt>
                <c:pt idx="459">
                  <c:v>19755.099999999999</c:v>
                </c:pt>
                <c:pt idx="460">
                  <c:v>23508.799999999999</c:v>
                </c:pt>
                <c:pt idx="461">
                  <c:v>21554.799999999999</c:v>
                </c:pt>
                <c:pt idx="462">
                  <c:v>23960.2</c:v>
                </c:pt>
                <c:pt idx="463">
                  <c:v>25720.1</c:v>
                </c:pt>
                <c:pt idx="464">
                  <c:v>18576.099999999999</c:v>
                </c:pt>
                <c:pt idx="465">
                  <c:v>15841.7</c:v>
                </c:pt>
                <c:pt idx="466">
                  <c:v>22428.6</c:v>
                </c:pt>
                <c:pt idx="467">
                  <c:v>24635.1</c:v>
                </c:pt>
                <c:pt idx="468">
                  <c:v>15201.3</c:v>
                </c:pt>
                <c:pt idx="469">
                  <c:v>#N/A</c:v>
                </c:pt>
                <c:pt idx="470">
                  <c:v>11977.3</c:v>
                </c:pt>
                <c:pt idx="471">
                  <c:v>27473.599999999999</c:v>
                </c:pt>
                <c:pt idx="472">
                  <c:v>25192.1</c:v>
                </c:pt>
                <c:pt idx="473">
                  <c:v>17580.599999999999</c:v>
                </c:pt>
                <c:pt idx="474">
                  <c:v>17880.599999999999</c:v>
                </c:pt>
                <c:pt idx="475">
                  <c:v>16410.400000000001</c:v>
                </c:pt>
                <c:pt idx="476">
                  <c:v>16741.400000000001</c:v>
                </c:pt>
                <c:pt idx="477">
                  <c:v>16481.099999999999</c:v>
                </c:pt>
                <c:pt idx="478">
                  <c:v>18860</c:v>
                </c:pt>
                <c:pt idx="479">
                  <c:v>24645.4</c:v>
                </c:pt>
                <c:pt idx="480">
                  <c:v>23850.1</c:v>
                </c:pt>
                <c:pt idx="481">
                  <c:v>24152.799999999999</c:v>
                </c:pt>
                <c:pt idx="482">
                  <c:v>25443.5</c:v>
                </c:pt>
                <c:pt idx="483">
                  <c:v>24132.400000000001</c:v>
                </c:pt>
                <c:pt idx="484">
                  <c:v>25813.8</c:v>
                </c:pt>
                <c:pt idx="485">
                  <c:v>53599.6</c:v>
                </c:pt>
                <c:pt idx="486">
                  <c:v>17726.3</c:v>
                </c:pt>
                <c:pt idx="487">
                  <c:v>8989.1</c:v>
                </c:pt>
                <c:pt idx="488">
                  <c:v>#N/A</c:v>
                </c:pt>
                <c:pt idx="489">
                  <c:v>14526.9</c:v>
                </c:pt>
                <c:pt idx="490">
                  <c:v>18414.400000000001</c:v>
                </c:pt>
                <c:pt idx="491">
                  <c:v>16356.7</c:v>
                </c:pt>
                <c:pt idx="492">
                  <c:v>18393.400000000001</c:v>
                </c:pt>
                <c:pt idx="493">
                  <c:v>#N/A</c:v>
                </c:pt>
                <c:pt idx="494">
                  <c:v>22634.5</c:v>
                </c:pt>
                <c:pt idx="495">
                  <c:v>21121.7</c:v>
                </c:pt>
                <c:pt idx="496">
                  <c:v>20826.7</c:v>
                </c:pt>
                <c:pt idx="497">
                  <c:v>21881.7</c:v>
                </c:pt>
                <c:pt idx="498">
                  <c:v>27762</c:v>
                </c:pt>
                <c:pt idx="499">
                  <c:v>21399.9</c:v>
                </c:pt>
                <c:pt idx="500">
                  <c:v>20733.900000000001</c:v>
                </c:pt>
                <c:pt idx="501">
                  <c:v>21637</c:v>
                </c:pt>
                <c:pt idx="502">
                  <c:v>23500.799999999999</c:v>
                </c:pt>
                <c:pt idx="503">
                  <c:v>21417.9</c:v>
                </c:pt>
                <c:pt idx="504">
                  <c:v>23865.4</c:v>
                </c:pt>
                <c:pt idx="505">
                  <c:v>34371.699999999997</c:v>
                </c:pt>
                <c:pt idx="506">
                  <c:v>#N/A</c:v>
                </c:pt>
                <c:pt idx="507">
                  <c:v>29517.200000000001</c:v>
                </c:pt>
                <c:pt idx="508">
                  <c:v>24138.799999999999</c:v>
                </c:pt>
                <c:pt idx="509">
                  <c:v>19680.8</c:v>
                </c:pt>
                <c:pt idx="510">
                  <c:v>24918.1</c:v>
                </c:pt>
                <c:pt idx="511">
                  <c:v>32078.1</c:v>
                </c:pt>
                <c:pt idx="512">
                  <c:v>24899.9</c:v>
                </c:pt>
                <c:pt idx="513">
                  <c:v>35127.800000000003</c:v>
                </c:pt>
                <c:pt idx="514">
                  <c:v>51597.5</c:v>
                </c:pt>
                <c:pt idx="515">
                  <c:v>36142.699999999997</c:v>
                </c:pt>
                <c:pt idx="516">
                  <c:v>30149.1</c:v>
                </c:pt>
                <c:pt idx="517">
                  <c:v>36433.300000000003</c:v>
                </c:pt>
                <c:pt idx="518">
                  <c:v>39186.300000000003</c:v>
                </c:pt>
                <c:pt idx="519">
                  <c:v>27751.4</c:v>
                </c:pt>
                <c:pt idx="520">
                  <c:v>33529.1</c:v>
                </c:pt>
                <c:pt idx="521">
                  <c:v>35844.300000000003</c:v>
                </c:pt>
                <c:pt idx="522">
                  <c:v>53159.9</c:v>
                </c:pt>
                <c:pt idx="523">
                  <c:v>47062.9</c:v>
                </c:pt>
                <c:pt idx="524">
                  <c:v>35295.800000000003</c:v>
                </c:pt>
                <c:pt idx="525">
                  <c:v>23149.5</c:v>
                </c:pt>
                <c:pt idx="526">
                  <c:v>#N/A</c:v>
                </c:pt>
                <c:pt idx="527">
                  <c:v>27853.1</c:v>
                </c:pt>
                <c:pt idx="528">
                  <c:v>29997.5</c:v>
                </c:pt>
                <c:pt idx="529">
                  <c:v>36862.400000000001</c:v>
                </c:pt>
                <c:pt idx="530">
                  <c:v>48600.4</c:v>
                </c:pt>
                <c:pt idx="531">
                  <c:v>68311.100000000006</c:v>
                </c:pt>
                <c:pt idx="532">
                  <c:v>68073.3</c:v>
                </c:pt>
                <c:pt idx="533">
                  <c:v>56387.1</c:v>
                </c:pt>
                <c:pt idx="534">
                  <c:v>93174.9</c:v>
                </c:pt>
                <c:pt idx="535">
                  <c:v>97073.600000000006</c:v>
                </c:pt>
                <c:pt idx="536">
                  <c:v>71030.8</c:v>
                </c:pt>
                <c:pt idx="537">
                  <c:v>71677</c:v>
                </c:pt>
                <c:pt idx="538">
                  <c:v>49814.400000000001</c:v>
                </c:pt>
                <c:pt idx="539">
                  <c:v>47817.3</c:v>
                </c:pt>
                <c:pt idx="540">
                  <c:v>72821.100000000006</c:v>
                </c:pt>
                <c:pt idx="541">
                  <c:v>70419.3</c:v>
                </c:pt>
                <c:pt idx="542">
                  <c:v>65354.400000000001</c:v>
                </c:pt>
                <c:pt idx="543">
                  <c:v>56504.3</c:v>
                </c:pt>
                <c:pt idx="544">
                  <c:v>93226.4</c:v>
                </c:pt>
                <c:pt idx="545">
                  <c:v>92727.4</c:v>
                </c:pt>
                <c:pt idx="546">
                  <c:v>87905.9</c:v>
                </c:pt>
                <c:pt idx="547">
                  <c:v>81059.8</c:v>
                </c:pt>
                <c:pt idx="548">
                  <c:v>81593.2</c:v>
                </c:pt>
                <c:pt idx="549">
                  <c:v>85922.7</c:v>
                </c:pt>
                <c:pt idx="550">
                  <c:v>84866.2</c:v>
                </c:pt>
                <c:pt idx="551">
                  <c:v>78975.199999999997</c:v>
                </c:pt>
                <c:pt idx="552">
                  <c:v>82516.800000000003</c:v>
                </c:pt>
                <c:pt idx="553">
                  <c:v>75638.3</c:v>
                </c:pt>
                <c:pt idx="554">
                  <c:v>64694.400000000001</c:v>
                </c:pt>
                <c:pt idx="555">
                  <c:v>57042.3</c:v>
                </c:pt>
                <c:pt idx="556">
                  <c:v>63420.3</c:v>
                </c:pt>
                <c:pt idx="557">
                  <c:v>77927.199999999997</c:v>
                </c:pt>
                <c:pt idx="558">
                  <c:v>57969.9</c:v>
                </c:pt>
                <c:pt idx="559">
                  <c:v>49630.7</c:v>
                </c:pt>
                <c:pt idx="560">
                  <c:v>41243.300000000003</c:v>
                </c:pt>
                <c:pt idx="561">
                  <c:v>67111.7</c:v>
                </c:pt>
                <c:pt idx="562">
                  <c:v>62769</c:v>
                </c:pt>
                <c:pt idx="563">
                  <c:v>48318.2</c:v>
                </c:pt>
                <c:pt idx="564">
                  <c:v>51431.8</c:v>
                </c:pt>
                <c:pt idx="565">
                  <c:v>#N/A</c:v>
                </c:pt>
                <c:pt idx="566">
                  <c:v>41905.300000000003</c:v>
                </c:pt>
                <c:pt idx="567">
                  <c:v>52874.3</c:v>
                </c:pt>
                <c:pt idx="568">
                  <c:v>40940.800000000003</c:v>
                </c:pt>
                <c:pt idx="569">
                  <c:v>50479.6</c:v>
                </c:pt>
                <c:pt idx="570">
                  <c:v>52765.599999999999</c:v>
                </c:pt>
                <c:pt idx="571">
                  <c:v>36669.599999999999</c:v>
                </c:pt>
                <c:pt idx="572">
                  <c:v>56203.8</c:v>
                </c:pt>
                <c:pt idx="573">
                  <c:v>34651.599999999999</c:v>
                </c:pt>
                <c:pt idx="574">
                  <c:v>32790.800000000003</c:v>
                </c:pt>
                <c:pt idx="575">
                  <c:v>34305.300000000003</c:v>
                </c:pt>
                <c:pt idx="576">
                  <c:v>33194.400000000001</c:v>
                </c:pt>
                <c:pt idx="577">
                  <c:v>34392.699999999997</c:v>
                </c:pt>
                <c:pt idx="578">
                  <c:v>51286.6</c:v>
                </c:pt>
                <c:pt idx="579">
                  <c:v>53875.9</c:v>
                </c:pt>
                <c:pt idx="580">
                  <c:v>39370.5</c:v>
                </c:pt>
                <c:pt idx="581">
                  <c:v>30372.9</c:v>
                </c:pt>
                <c:pt idx="582">
                  <c:v>36839.199999999997</c:v>
                </c:pt>
                <c:pt idx="583">
                  <c:v>32139.3</c:v>
                </c:pt>
                <c:pt idx="584">
                  <c:v>28316</c:v>
                </c:pt>
                <c:pt idx="585">
                  <c:v>30912.6</c:v>
                </c:pt>
                <c:pt idx="586">
                  <c:v>30892.7</c:v>
                </c:pt>
                <c:pt idx="587">
                  <c:v>32038.2</c:v>
                </c:pt>
                <c:pt idx="588">
                  <c:v>44711.5</c:v>
                </c:pt>
                <c:pt idx="589">
                  <c:v>41873.9</c:v>
                </c:pt>
                <c:pt idx="590">
                  <c:v>46610.400000000001</c:v>
                </c:pt>
                <c:pt idx="591">
                  <c:v>35306.6</c:v>
                </c:pt>
                <c:pt idx="592">
                  <c:v>26799.1</c:v>
                </c:pt>
                <c:pt idx="593">
                  <c:v>31261.3</c:v>
                </c:pt>
                <c:pt idx="594">
                  <c:v>29119.5</c:v>
                </c:pt>
                <c:pt idx="595">
                  <c:v>20826.900000000001</c:v>
                </c:pt>
                <c:pt idx="596">
                  <c:v>#N/A</c:v>
                </c:pt>
                <c:pt idx="597">
                  <c:v>36073.599999999999</c:v>
                </c:pt>
                <c:pt idx="598">
                  <c:v>39517.1</c:v>
                </c:pt>
                <c:pt idx="599">
                  <c:v>33831.800000000003</c:v>
                </c:pt>
                <c:pt idx="600">
                  <c:v>42146.7</c:v>
                </c:pt>
                <c:pt idx="601">
                  <c:v>22668.799999999999</c:v>
                </c:pt>
                <c:pt idx="602">
                  <c:v>30794.6</c:v>
                </c:pt>
                <c:pt idx="603">
                  <c:v>27311</c:v>
                </c:pt>
                <c:pt idx="604">
                  <c:v>28761.8</c:v>
                </c:pt>
                <c:pt idx="605">
                  <c:v>39893.599999999999</c:v>
                </c:pt>
                <c:pt idx="606">
                  <c:v>33211.599999999999</c:v>
                </c:pt>
                <c:pt idx="607">
                  <c:v>29783.9</c:v>
                </c:pt>
                <c:pt idx="608">
                  <c:v>43872.3</c:v>
                </c:pt>
                <c:pt idx="609">
                  <c:v>52854.7</c:v>
                </c:pt>
                <c:pt idx="610">
                  <c:v>43373.599999999999</c:v>
                </c:pt>
                <c:pt idx="611">
                  <c:v>32770.199999999997</c:v>
                </c:pt>
                <c:pt idx="612">
                  <c:v>42556.7</c:v>
                </c:pt>
                <c:pt idx="613">
                  <c:v>25687.8</c:v>
                </c:pt>
                <c:pt idx="614">
                  <c:v>23061.599999999999</c:v>
                </c:pt>
                <c:pt idx="615">
                  <c:v>44441.1</c:v>
                </c:pt>
                <c:pt idx="616">
                  <c:v>32818.9</c:v>
                </c:pt>
                <c:pt idx="617">
                  <c:v>30917.4</c:v>
                </c:pt>
                <c:pt idx="618">
                  <c:v>36740.6</c:v>
                </c:pt>
                <c:pt idx="619">
                  <c:v>27803.9</c:v>
                </c:pt>
                <c:pt idx="620">
                  <c:v>54675.8</c:v>
                </c:pt>
                <c:pt idx="621">
                  <c:v>26701.599999999999</c:v>
                </c:pt>
                <c:pt idx="622">
                  <c:v>34310.300000000003</c:v>
                </c:pt>
                <c:pt idx="623">
                  <c:v>32061.200000000001</c:v>
                </c:pt>
                <c:pt idx="624">
                  <c:v>29315.8</c:v>
                </c:pt>
                <c:pt idx="625">
                  <c:v>#N/A</c:v>
                </c:pt>
                <c:pt idx="626">
                  <c:v>31897.599999999999</c:v>
                </c:pt>
                <c:pt idx="627">
                  <c:v>33600.699999999997</c:v>
                </c:pt>
                <c:pt idx="628">
                  <c:v>33600</c:v>
                </c:pt>
                <c:pt idx="629">
                  <c:v>33121.699999999997</c:v>
                </c:pt>
                <c:pt idx="630">
                  <c:v>26177.599999999999</c:v>
                </c:pt>
                <c:pt idx="631">
                  <c:v>38135.599999999999</c:v>
                </c:pt>
                <c:pt idx="632">
                  <c:v>37591.800000000003</c:v>
                </c:pt>
                <c:pt idx="633">
                  <c:v>32179.4</c:v>
                </c:pt>
                <c:pt idx="634">
                  <c:v>29940.7</c:v>
                </c:pt>
                <c:pt idx="635">
                  <c:v>31635.3</c:v>
                </c:pt>
                <c:pt idx="636">
                  <c:v>36884.800000000003</c:v>
                </c:pt>
                <c:pt idx="637">
                  <c:v>38105.800000000003</c:v>
                </c:pt>
                <c:pt idx="638">
                  <c:v>49605.7</c:v>
                </c:pt>
                <c:pt idx="639">
                  <c:v>67457.100000000006</c:v>
                </c:pt>
                <c:pt idx="640">
                  <c:v>39827</c:v>
                </c:pt>
                <c:pt idx="641">
                  <c:v>30160.9</c:v>
                </c:pt>
                <c:pt idx="642">
                  <c:v>23251.4</c:v>
                </c:pt>
                <c:pt idx="643">
                  <c:v>19632.599999999999</c:v>
                </c:pt>
                <c:pt idx="644">
                  <c:v>25079.599999999999</c:v>
                </c:pt>
                <c:pt idx="645">
                  <c:v>51248</c:v>
                </c:pt>
                <c:pt idx="646">
                  <c:v>78983</c:v>
                </c:pt>
                <c:pt idx="647">
                  <c:v>49280.1</c:v>
                </c:pt>
                <c:pt idx="648">
                  <c:v>28858.6</c:v>
                </c:pt>
                <c:pt idx="649">
                  <c:v>32656.799999999999</c:v>
                </c:pt>
                <c:pt idx="650">
                  <c:v>27820.400000000001</c:v>
                </c:pt>
                <c:pt idx="651">
                  <c:v>36716.5</c:v>
                </c:pt>
                <c:pt idx="652">
                  <c:v>36446.5</c:v>
                </c:pt>
                <c:pt idx="653">
                  <c:v>28041.4</c:v>
                </c:pt>
                <c:pt idx="654">
                  <c:v>22588.9</c:v>
                </c:pt>
                <c:pt idx="655">
                  <c:v>17958.900000000001</c:v>
                </c:pt>
                <c:pt idx="656">
                  <c:v>20184.8</c:v>
                </c:pt>
                <c:pt idx="657">
                  <c:v>21336.2</c:v>
                </c:pt>
                <c:pt idx="658">
                  <c:v>27627.599999999999</c:v>
                </c:pt>
                <c:pt idx="659">
                  <c:v>26981.5</c:v>
                </c:pt>
                <c:pt idx="660">
                  <c:v>36249.300000000003</c:v>
                </c:pt>
                <c:pt idx="661">
                  <c:v>25460.1</c:v>
                </c:pt>
                <c:pt idx="662">
                  <c:v>23043.7</c:v>
                </c:pt>
                <c:pt idx="663">
                  <c:v>39600.800000000003</c:v>
                </c:pt>
                <c:pt idx="664">
                  <c:v>57602.2</c:v>
                </c:pt>
                <c:pt idx="665">
                  <c:v>26292.9</c:v>
                </c:pt>
                <c:pt idx="666">
                  <c:v>28774.2</c:v>
                </c:pt>
                <c:pt idx="667">
                  <c:v>25791.200000000001</c:v>
                </c:pt>
                <c:pt idx="668">
                  <c:v>34080.800000000003</c:v>
                </c:pt>
                <c:pt idx="669">
                  <c:v>57646.8</c:v>
                </c:pt>
                <c:pt idx="670">
                  <c:v>59664.1</c:v>
                </c:pt>
                <c:pt idx="671">
                  <c:v>#N/A</c:v>
                </c:pt>
                <c:pt idx="672">
                  <c:v>52924.3</c:v>
                </c:pt>
                <c:pt idx="673">
                  <c:v>45679</c:v>
                </c:pt>
                <c:pt idx="674">
                  <c:v>35461.5</c:v>
                </c:pt>
                <c:pt idx="675">
                  <c:v>33620.1</c:v>
                </c:pt>
                <c:pt idx="676">
                  <c:v>30375.8</c:v>
                </c:pt>
                <c:pt idx="677">
                  <c:v>21823.9</c:v>
                </c:pt>
                <c:pt idx="678">
                  <c:v>26372.5</c:v>
                </c:pt>
                <c:pt idx="679">
                  <c:v>34011.300000000003</c:v>
                </c:pt>
                <c:pt idx="680">
                  <c:v>55225.3</c:v>
                </c:pt>
                <c:pt idx="681">
                  <c:v>39839.699999999997</c:v>
                </c:pt>
                <c:pt idx="682">
                  <c:v>33517.1</c:v>
                </c:pt>
                <c:pt idx="683">
                  <c:v>30803.8</c:v>
                </c:pt>
                <c:pt idx="684">
                  <c:v>31202.5</c:v>
                </c:pt>
                <c:pt idx="685">
                  <c:v>29437.3</c:v>
                </c:pt>
                <c:pt idx="686">
                  <c:v>32004.9</c:v>
                </c:pt>
                <c:pt idx="687">
                  <c:v>24464.5</c:v>
                </c:pt>
                <c:pt idx="688">
                  <c:v>33829.1</c:v>
                </c:pt>
                <c:pt idx="689">
                  <c:v>27158.400000000001</c:v>
                </c:pt>
                <c:pt idx="690">
                  <c:v>33154.800000000003</c:v>
                </c:pt>
                <c:pt idx="691">
                  <c:v>21331.599999999999</c:v>
                </c:pt>
                <c:pt idx="692">
                  <c:v>28554.3</c:v>
                </c:pt>
                <c:pt idx="693">
                  <c:v>25681.1</c:v>
                </c:pt>
                <c:pt idx="694">
                  <c:v>19925.8</c:v>
                </c:pt>
                <c:pt idx="695">
                  <c:v>26458</c:v>
                </c:pt>
                <c:pt idx="696">
                  <c:v>40461.4</c:v>
                </c:pt>
                <c:pt idx="697">
                  <c:v>28950.799999999999</c:v>
                </c:pt>
                <c:pt idx="698">
                  <c:v>23451.7</c:v>
                </c:pt>
                <c:pt idx="699">
                  <c:v>22733.1</c:v>
                </c:pt>
                <c:pt idx="700">
                  <c:v>26057.9</c:v>
                </c:pt>
                <c:pt idx="701">
                  <c:v>27625.8</c:v>
                </c:pt>
                <c:pt idx="702">
                  <c:v>22753.5</c:v>
                </c:pt>
                <c:pt idx="703">
                  <c:v>22724.9</c:v>
                </c:pt>
                <c:pt idx="704">
                  <c:v>22351.4</c:v>
                </c:pt>
                <c:pt idx="705">
                  <c:v>18879.599999999999</c:v>
                </c:pt>
                <c:pt idx="706">
                  <c:v>37111.599999999999</c:v>
                </c:pt>
                <c:pt idx="707">
                  <c:v>36700.300000000003</c:v>
                </c:pt>
                <c:pt idx="708">
                  <c:v>51195.6</c:v>
                </c:pt>
                <c:pt idx="709">
                  <c:v>31432.6</c:v>
                </c:pt>
                <c:pt idx="710">
                  <c:v>36980.1</c:v>
                </c:pt>
                <c:pt idx="711">
                  <c:v>30842.2</c:v>
                </c:pt>
                <c:pt idx="712">
                  <c:v>27512</c:v>
                </c:pt>
                <c:pt idx="713">
                  <c:v>42311.8</c:v>
                </c:pt>
                <c:pt idx="714">
                  <c:v>36080.1</c:v>
                </c:pt>
                <c:pt idx="715">
                  <c:v>25231.9</c:v>
                </c:pt>
                <c:pt idx="716">
                  <c:v>44394.9</c:v>
                </c:pt>
                <c:pt idx="717">
                  <c:v>44045.1</c:v>
                </c:pt>
                <c:pt idx="718">
                  <c:v>29440.799999999999</c:v>
                </c:pt>
                <c:pt idx="719">
                  <c:v>21616.1</c:v>
                </c:pt>
                <c:pt idx="720">
                  <c:v>18630.3</c:v>
                </c:pt>
                <c:pt idx="721">
                  <c:v>24953.3</c:v>
                </c:pt>
                <c:pt idx="722">
                  <c:v>24154.1</c:v>
                </c:pt>
                <c:pt idx="723">
                  <c:v>28372.799999999999</c:v>
                </c:pt>
                <c:pt idx="724">
                  <c:v>24792.7</c:v>
                </c:pt>
                <c:pt idx="725">
                  <c:v>22843.1</c:v>
                </c:pt>
                <c:pt idx="726">
                  <c:v>25683.5</c:v>
                </c:pt>
                <c:pt idx="727">
                  <c:v>33979.699999999997</c:v>
                </c:pt>
                <c:pt idx="728">
                  <c:v>21012.9</c:v>
                </c:pt>
                <c:pt idx="729">
                  <c:v>#N/A</c:v>
                </c:pt>
                <c:pt idx="730">
                  <c:v>14512.2</c:v>
                </c:pt>
                <c:pt idx="731">
                  <c:v>33064.800000000003</c:v>
                </c:pt>
                <c:pt idx="732">
                  <c:v>30931.3</c:v>
                </c:pt>
                <c:pt idx="733">
                  <c:v>23724.5</c:v>
                </c:pt>
                <c:pt idx="734">
                  <c:v>25120.9</c:v>
                </c:pt>
                <c:pt idx="735">
                  <c:v>24666</c:v>
                </c:pt>
                <c:pt idx="736">
                  <c:v>24620</c:v>
                </c:pt>
                <c:pt idx="737">
                  <c:v>23284.1</c:v>
                </c:pt>
                <c:pt idx="738">
                  <c:v>32440.6</c:v>
                </c:pt>
                <c:pt idx="739">
                  <c:v>26467</c:v>
                </c:pt>
                <c:pt idx="740">
                  <c:v>30979.4</c:v>
                </c:pt>
                <c:pt idx="741">
                  <c:v>28798.400000000001</c:v>
                </c:pt>
                <c:pt idx="742">
                  <c:v>27018.1</c:v>
                </c:pt>
                <c:pt idx="743">
                  <c:v>35023.300000000003</c:v>
                </c:pt>
                <c:pt idx="744">
                  <c:v>32515.8</c:v>
                </c:pt>
                <c:pt idx="745">
                  <c:v>63354.9</c:v>
                </c:pt>
                <c:pt idx="746">
                  <c:v>37181.9</c:v>
                </c:pt>
                <c:pt idx="747">
                  <c:v>22643.4</c:v>
                </c:pt>
                <c:pt idx="748">
                  <c:v>18699.599999999999</c:v>
                </c:pt>
                <c:pt idx="749">
                  <c:v>10550.6</c:v>
                </c:pt>
                <c:pt idx="750">
                  <c:v>#N/A</c:v>
                </c:pt>
                <c:pt idx="751">
                  <c:v>17933.5</c:v>
                </c:pt>
                <c:pt idx="752">
                  <c:v>17403.2</c:v>
                </c:pt>
                <c:pt idx="753">
                  <c:v>20272.3</c:v>
                </c:pt>
                <c:pt idx="754">
                  <c:v>20942.099999999999</c:v>
                </c:pt>
                <c:pt idx="755">
                  <c:v>#N/A</c:v>
                </c:pt>
                <c:pt idx="756">
                  <c:v>37130.1</c:v>
                </c:pt>
                <c:pt idx="757">
                  <c:v>23823</c:v>
                </c:pt>
                <c:pt idx="758">
                  <c:v>35930.699999999997</c:v>
                </c:pt>
                <c:pt idx="759">
                  <c:v>27694.5</c:v>
                </c:pt>
                <c:pt idx="760">
                  <c:v>22956.2</c:v>
                </c:pt>
                <c:pt idx="761">
                  <c:v>23047</c:v>
                </c:pt>
                <c:pt idx="762">
                  <c:v>23249.3</c:v>
                </c:pt>
                <c:pt idx="763">
                  <c:v>20087.099999999999</c:v>
                </c:pt>
                <c:pt idx="764">
                  <c:v>29346.7</c:v>
                </c:pt>
                <c:pt idx="765">
                  <c:v>31746.5</c:v>
                </c:pt>
                <c:pt idx="766">
                  <c:v>#N/A</c:v>
                </c:pt>
                <c:pt idx="767">
                  <c:v>30480.9</c:v>
                </c:pt>
                <c:pt idx="768">
                  <c:v>37777.300000000003</c:v>
                </c:pt>
                <c:pt idx="769">
                  <c:v>30749.599999999999</c:v>
                </c:pt>
                <c:pt idx="770">
                  <c:v>30172.7</c:v>
                </c:pt>
                <c:pt idx="771">
                  <c:v>33152.1</c:v>
                </c:pt>
                <c:pt idx="772">
                  <c:v>49169.599999999999</c:v>
                </c:pt>
                <c:pt idx="773">
                  <c:v>69870.600000000006</c:v>
                </c:pt>
                <c:pt idx="774">
                  <c:v>49111.199999999997</c:v>
                </c:pt>
                <c:pt idx="775">
                  <c:v>42503.1</c:v>
                </c:pt>
                <c:pt idx="776">
                  <c:v>33314.199999999997</c:v>
                </c:pt>
                <c:pt idx="777">
                  <c:v>25916.3</c:v>
                </c:pt>
                <c:pt idx="778">
                  <c:v>27158.1</c:v>
                </c:pt>
                <c:pt idx="779">
                  <c:v>25296.1</c:v>
                </c:pt>
                <c:pt idx="780">
                  <c:v>18054.8</c:v>
                </c:pt>
                <c:pt idx="781">
                  <c:v>22211.9</c:v>
                </c:pt>
                <c:pt idx="782">
                  <c:v>23565</c:v>
                </c:pt>
                <c:pt idx="783">
                  <c:v>22186.7</c:v>
                </c:pt>
                <c:pt idx="784">
                  <c:v>15751.1</c:v>
                </c:pt>
                <c:pt idx="785">
                  <c:v>16561.099999999999</c:v>
                </c:pt>
                <c:pt idx="786">
                  <c:v>#N/A</c:v>
                </c:pt>
                <c:pt idx="787">
                  <c:v>26728.5</c:v>
                </c:pt>
                <c:pt idx="788">
                  <c:v>21673.1</c:v>
                </c:pt>
                <c:pt idx="789">
                  <c:v>16925.599999999999</c:v>
                </c:pt>
                <c:pt idx="790">
                  <c:v>25262.6</c:v>
                </c:pt>
                <c:pt idx="791">
                  <c:v>36446.9</c:v>
                </c:pt>
                <c:pt idx="792">
                  <c:v>30228.7</c:v>
                </c:pt>
                <c:pt idx="793">
                  <c:v>26339.7</c:v>
                </c:pt>
                <c:pt idx="794">
                  <c:v>39542.199999999997</c:v>
                </c:pt>
                <c:pt idx="795">
                  <c:v>37819.199999999997</c:v>
                </c:pt>
                <c:pt idx="796">
                  <c:v>25332.799999999999</c:v>
                </c:pt>
                <c:pt idx="797">
                  <c:v>22812.5</c:v>
                </c:pt>
                <c:pt idx="798">
                  <c:v>34029.5</c:v>
                </c:pt>
                <c:pt idx="799">
                  <c:v>44727.8</c:v>
                </c:pt>
                <c:pt idx="800">
                  <c:v>41872.800000000003</c:v>
                </c:pt>
                <c:pt idx="801">
                  <c:v>35267.4</c:v>
                </c:pt>
                <c:pt idx="802">
                  <c:v>33080.5</c:v>
                </c:pt>
                <c:pt idx="803">
                  <c:v>29746.799999999999</c:v>
                </c:pt>
                <c:pt idx="804">
                  <c:v>29907.599999999999</c:v>
                </c:pt>
                <c:pt idx="805">
                  <c:v>22653.7</c:v>
                </c:pt>
                <c:pt idx="806">
                  <c:v>26042.7</c:v>
                </c:pt>
                <c:pt idx="807">
                  <c:v>28092.2</c:v>
                </c:pt>
                <c:pt idx="808">
                  <c:v>29562.1</c:v>
                </c:pt>
                <c:pt idx="809">
                  <c:v>34852.300000000003</c:v>
                </c:pt>
                <c:pt idx="810">
                  <c:v>46430.7</c:v>
                </c:pt>
                <c:pt idx="811">
                  <c:v>30127</c:v>
                </c:pt>
                <c:pt idx="812">
                  <c:v>31638.400000000001</c:v>
                </c:pt>
                <c:pt idx="813">
                  <c:v>25620.1</c:v>
                </c:pt>
                <c:pt idx="814">
                  <c:v>34061.9</c:v>
                </c:pt>
                <c:pt idx="815">
                  <c:v>25479.9</c:v>
                </c:pt>
                <c:pt idx="816">
                  <c:v>25227.5</c:v>
                </c:pt>
                <c:pt idx="817">
                  <c:v>24792</c:v>
                </c:pt>
                <c:pt idx="818">
                  <c:v>43623.5</c:v>
                </c:pt>
                <c:pt idx="819">
                  <c:v>30338</c:v>
                </c:pt>
                <c:pt idx="820">
                  <c:v>#N/A</c:v>
                </c:pt>
                <c:pt idx="821">
                  <c:v>36910.6</c:v>
                </c:pt>
                <c:pt idx="822">
                  <c:v>22931.9</c:v>
                </c:pt>
                <c:pt idx="823">
                  <c:v>22719.8</c:v>
                </c:pt>
                <c:pt idx="824">
                  <c:v>23625.200000000001</c:v>
                </c:pt>
                <c:pt idx="825">
                  <c:v>24326.799999999999</c:v>
                </c:pt>
                <c:pt idx="826">
                  <c:v>27148.7</c:v>
                </c:pt>
                <c:pt idx="827">
                  <c:v>23837.5</c:v>
                </c:pt>
                <c:pt idx="828">
                  <c:v>23070.9</c:v>
                </c:pt>
                <c:pt idx="829">
                  <c:v>25627.5</c:v>
                </c:pt>
                <c:pt idx="830">
                  <c:v>24878.6</c:v>
                </c:pt>
                <c:pt idx="831">
                  <c:v>23209.3</c:v>
                </c:pt>
                <c:pt idx="832">
                  <c:v>19722.900000000001</c:v>
                </c:pt>
                <c:pt idx="833">
                  <c:v>24030.400000000001</c:v>
                </c:pt>
                <c:pt idx="834">
                  <c:v>25606.2</c:v>
                </c:pt>
                <c:pt idx="835">
                  <c:v>21499.3</c:v>
                </c:pt>
                <c:pt idx="836">
                  <c:v>19763.3</c:v>
                </c:pt>
                <c:pt idx="837">
                  <c:v>31014.2</c:v>
                </c:pt>
                <c:pt idx="838">
                  <c:v>46903.1</c:v>
                </c:pt>
                <c:pt idx="839">
                  <c:v>40589</c:v>
                </c:pt>
                <c:pt idx="840">
                  <c:v>30945.1</c:v>
                </c:pt>
                <c:pt idx="841">
                  <c:v>19626.599999999999</c:v>
                </c:pt>
                <c:pt idx="842">
                  <c:v>32756.1</c:v>
                </c:pt>
                <c:pt idx="843">
                  <c:v>21901.3</c:v>
                </c:pt>
                <c:pt idx="844">
                  <c:v>26491.1</c:v>
                </c:pt>
                <c:pt idx="845">
                  <c:v>27032.9</c:v>
                </c:pt>
                <c:pt idx="846">
                  <c:v>29299.9</c:v>
                </c:pt>
                <c:pt idx="847">
                  <c:v>33641.599999999999</c:v>
                </c:pt>
                <c:pt idx="848">
                  <c:v>36684.400000000001</c:v>
                </c:pt>
                <c:pt idx="849">
                  <c:v>29624.3</c:v>
                </c:pt>
                <c:pt idx="850">
                  <c:v>23901.1</c:v>
                </c:pt>
                <c:pt idx="851">
                  <c:v>24970.2</c:v>
                </c:pt>
                <c:pt idx="852">
                  <c:v>20168</c:v>
                </c:pt>
                <c:pt idx="853">
                  <c:v>25739.8</c:v>
                </c:pt>
                <c:pt idx="854">
                  <c:v>21800.7</c:v>
                </c:pt>
                <c:pt idx="855">
                  <c:v>21863.1</c:v>
                </c:pt>
                <c:pt idx="856">
                  <c:v>21411.5</c:v>
                </c:pt>
                <c:pt idx="857">
                  <c:v>17704.3</c:v>
                </c:pt>
                <c:pt idx="858">
                  <c:v>17771.599999999999</c:v>
                </c:pt>
                <c:pt idx="859">
                  <c:v>24426.2</c:v>
                </c:pt>
                <c:pt idx="860">
                  <c:v>18274.900000000001</c:v>
                </c:pt>
                <c:pt idx="861">
                  <c:v>#N/A</c:v>
                </c:pt>
                <c:pt idx="862">
                  <c:v>23213.3</c:v>
                </c:pt>
                <c:pt idx="863">
                  <c:v>19406.7</c:v>
                </c:pt>
                <c:pt idx="864">
                  <c:v>25307.7</c:v>
                </c:pt>
                <c:pt idx="865">
                  <c:v>25281.1</c:v>
                </c:pt>
                <c:pt idx="866">
                  <c:v>23079.200000000001</c:v>
                </c:pt>
                <c:pt idx="867">
                  <c:v>22455</c:v>
                </c:pt>
                <c:pt idx="868">
                  <c:v>17937.599999999999</c:v>
                </c:pt>
                <c:pt idx="869">
                  <c:v>24563.599999999999</c:v>
                </c:pt>
                <c:pt idx="870">
                  <c:v>18999.7</c:v>
                </c:pt>
                <c:pt idx="871">
                  <c:v>19150.5</c:v>
                </c:pt>
                <c:pt idx="872">
                  <c:v>18038.900000000001</c:v>
                </c:pt>
                <c:pt idx="873">
                  <c:v>27220</c:v>
                </c:pt>
                <c:pt idx="874">
                  <c:v>27565.5</c:v>
                </c:pt>
                <c:pt idx="875">
                  <c:v>37202.199999999997</c:v>
                </c:pt>
                <c:pt idx="876">
                  <c:v>26696.1</c:v>
                </c:pt>
                <c:pt idx="877">
                  <c:v>24694.1</c:v>
                </c:pt>
                <c:pt idx="878">
                  <c:v>19518.7</c:v>
                </c:pt>
                <c:pt idx="879">
                  <c:v>21446.9</c:v>
                </c:pt>
                <c:pt idx="880">
                  <c:v>25611.1</c:v>
                </c:pt>
                <c:pt idx="881">
                  <c:v>19590</c:v>
                </c:pt>
                <c:pt idx="882">
                  <c:v>19937.8</c:v>
                </c:pt>
                <c:pt idx="883">
                  <c:v>21656.5</c:v>
                </c:pt>
                <c:pt idx="884">
                  <c:v>16725.3</c:v>
                </c:pt>
                <c:pt idx="885">
                  <c:v>26474.400000000001</c:v>
                </c:pt>
                <c:pt idx="886">
                  <c:v>#N/A</c:v>
                </c:pt>
                <c:pt idx="887">
                  <c:v>31565.599999999999</c:v>
                </c:pt>
                <c:pt idx="888">
                  <c:v>23260</c:v>
                </c:pt>
                <c:pt idx="889">
                  <c:v>24618.6</c:v>
                </c:pt>
                <c:pt idx="890">
                  <c:v>23916.7</c:v>
                </c:pt>
                <c:pt idx="891">
                  <c:v>18931.7</c:v>
                </c:pt>
                <c:pt idx="892">
                  <c:v>26120.1</c:v>
                </c:pt>
                <c:pt idx="893">
                  <c:v>23113.7</c:v>
                </c:pt>
                <c:pt idx="894">
                  <c:v>22604.2</c:v>
                </c:pt>
                <c:pt idx="895">
                  <c:v>26186.799999999999</c:v>
                </c:pt>
                <c:pt idx="896">
                  <c:v>32935.599999999999</c:v>
                </c:pt>
                <c:pt idx="897">
                  <c:v>26259.7</c:v>
                </c:pt>
                <c:pt idx="898">
                  <c:v>24364.3</c:v>
                </c:pt>
                <c:pt idx="899">
                  <c:v>23384.1</c:v>
                </c:pt>
                <c:pt idx="900">
                  <c:v>22768.1</c:v>
                </c:pt>
                <c:pt idx="901">
                  <c:v>23176.1</c:v>
                </c:pt>
                <c:pt idx="902">
                  <c:v>33604.1</c:v>
                </c:pt>
                <c:pt idx="903">
                  <c:v>33566.9</c:v>
                </c:pt>
                <c:pt idx="904">
                  <c:v>18168.3</c:v>
                </c:pt>
                <c:pt idx="905">
                  <c:v>20944.8</c:v>
                </c:pt>
                <c:pt idx="906">
                  <c:v>16267.4</c:v>
                </c:pt>
                <c:pt idx="907">
                  <c:v>17879</c:v>
                </c:pt>
                <c:pt idx="908">
                  <c:v>16191.3</c:v>
                </c:pt>
                <c:pt idx="909">
                  <c:v>13900.2</c:v>
                </c:pt>
                <c:pt idx="910">
                  <c:v>16589.3</c:v>
                </c:pt>
                <c:pt idx="911">
                  <c:v>16117.6</c:v>
                </c:pt>
                <c:pt idx="912">
                  <c:v>18616.599999999999</c:v>
                </c:pt>
                <c:pt idx="913">
                  <c:v>13955.9</c:v>
                </c:pt>
                <c:pt idx="914">
                  <c:v>14570.4</c:v>
                </c:pt>
                <c:pt idx="915">
                  <c:v>18249</c:v>
                </c:pt>
                <c:pt idx="916">
                  <c:v>22516</c:v>
                </c:pt>
                <c:pt idx="917">
                  <c:v>20075.3</c:v>
                </c:pt>
                <c:pt idx="918">
                  <c:v>21813</c:v>
                </c:pt>
                <c:pt idx="919">
                  <c:v>29850.5</c:v>
                </c:pt>
                <c:pt idx="920">
                  <c:v>40817.599999999999</c:v>
                </c:pt>
                <c:pt idx="921">
                  <c:v>22830.2</c:v>
                </c:pt>
                <c:pt idx="922">
                  <c:v>18175.8</c:v>
                </c:pt>
                <c:pt idx="923">
                  <c:v>20006.099999999999</c:v>
                </c:pt>
                <c:pt idx="924">
                  <c:v>17666.099999999999</c:v>
                </c:pt>
                <c:pt idx="925">
                  <c:v>22605.7</c:v>
                </c:pt>
                <c:pt idx="926">
                  <c:v>16348.1</c:v>
                </c:pt>
                <c:pt idx="927">
                  <c:v>26285.3</c:v>
                </c:pt>
                <c:pt idx="928">
                  <c:v>18983.8</c:v>
                </c:pt>
                <c:pt idx="929">
                  <c:v>16290.5</c:v>
                </c:pt>
                <c:pt idx="930">
                  <c:v>14751.6</c:v>
                </c:pt>
                <c:pt idx="931">
                  <c:v>#N/A</c:v>
                </c:pt>
                <c:pt idx="932">
                  <c:v>17184.099999999999</c:v>
                </c:pt>
                <c:pt idx="933">
                  <c:v>15046.8</c:v>
                </c:pt>
                <c:pt idx="934">
                  <c:v>19927</c:v>
                </c:pt>
                <c:pt idx="935">
                  <c:v>19633.400000000001</c:v>
                </c:pt>
                <c:pt idx="936">
                  <c:v>23652.9</c:v>
                </c:pt>
                <c:pt idx="937">
                  <c:v>21853.4</c:v>
                </c:pt>
                <c:pt idx="938">
                  <c:v>28356.3</c:v>
                </c:pt>
                <c:pt idx="939">
                  <c:v>19550.8</c:v>
                </c:pt>
                <c:pt idx="940">
                  <c:v>41372.5</c:v>
                </c:pt>
                <c:pt idx="941">
                  <c:v>38278.699999999997</c:v>
                </c:pt>
                <c:pt idx="942">
                  <c:v>22364.1</c:v>
                </c:pt>
                <c:pt idx="943">
                  <c:v>26626.3</c:v>
                </c:pt>
                <c:pt idx="944">
                  <c:v>18604.599999999999</c:v>
                </c:pt>
                <c:pt idx="945">
                  <c:v>14999</c:v>
                </c:pt>
                <c:pt idx="946">
                  <c:v>23571.7</c:v>
                </c:pt>
                <c:pt idx="947">
                  <c:v>43186.2</c:v>
                </c:pt>
                <c:pt idx="948">
                  <c:v>26353.7</c:v>
                </c:pt>
                <c:pt idx="949">
                  <c:v>32343.599999999999</c:v>
                </c:pt>
                <c:pt idx="950">
                  <c:v>30086.3</c:v>
                </c:pt>
                <c:pt idx="951">
                  <c:v>31350.7</c:v>
                </c:pt>
                <c:pt idx="952">
                  <c:v>24993</c:v>
                </c:pt>
                <c:pt idx="953">
                  <c:v>28002.6</c:v>
                </c:pt>
                <c:pt idx="954">
                  <c:v>20430.5</c:v>
                </c:pt>
                <c:pt idx="955">
                  <c:v>17685.7</c:v>
                </c:pt>
                <c:pt idx="956">
                  <c:v>19298.599999999999</c:v>
                </c:pt>
                <c:pt idx="957">
                  <c:v>17974.099999999999</c:v>
                </c:pt>
                <c:pt idx="958">
                  <c:v>23424</c:v>
                </c:pt>
                <c:pt idx="959">
                  <c:v>27262.9</c:v>
                </c:pt>
                <c:pt idx="960">
                  <c:v>25384.799999999999</c:v>
                </c:pt>
                <c:pt idx="961">
                  <c:v>22729.3</c:v>
                </c:pt>
                <c:pt idx="962">
                  <c:v>17682.099999999999</c:v>
                </c:pt>
                <c:pt idx="963">
                  <c:v>16537.099999999999</c:v>
                </c:pt>
                <c:pt idx="964">
                  <c:v>16918.099999999999</c:v>
                </c:pt>
                <c:pt idx="965">
                  <c:v>17449.3</c:v>
                </c:pt>
                <c:pt idx="966">
                  <c:v>17554.5</c:v>
                </c:pt>
                <c:pt idx="967">
                  <c:v>28107.3</c:v>
                </c:pt>
                <c:pt idx="968">
                  <c:v>52588.7</c:v>
                </c:pt>
                <c:pt idx="969">
                  <c:v>26297.9</c:v>
                </c:pt>
                <c:pt idx="970">
                  <c:v>34766</c:v>
                </c:pt>
                <c:pt idx="971">
                  <c:v>27073.200000000001</c:v>
                </c:pt>
                <c:pt idx="972">
                  <c:v>26487.1</c:v>
                </c:pt>
                <c:pt idx="973">
                  <c:v>21500.1</c:v>
                </c:pt>
                <c:pt idx="974">
                  <c:v>23992.2</c:v>
                </c:pt>
                <c:pt idx="975">
                  <c:v>22570.1</c:v>
                </c:pt>
                <c:pt idx="976">
                  <c:v>20897</c:v>
                </c:pt>
                <c:pt idx="977">
                  <c:v>21307.4</c:v>
                </c:pt>
                <c:pt idx="978">
                  <c:v>25500.9</c:v>
                </c:pt>
                <c:pt idx="979">
                  <c:v>16849.8</c:v>
                </c:pt>
                <c:pt idx="980">
                  <c:v>23831.1</c:v>
                </c:pt>
                <c:pt idx="981">
                  <c:v>16723</c:v>
                </c:pt>
                <c:pt idx="982">
                  <c:v>20886.8</c:v>
                </c:pt>
                <c:pt idx="983">
                  <c:v>19053.400000000001</c:v>
                </c:pt>
                <c:pt idx="984">
                  <c:v>22463.5</c:v>
                </c:pt>
                <c:pt idx="985">
                  <c:v>21963.4</c:v>
                </c:pt>
                <c:pt idx="986">
                  <c:v>31031.1</c:v>
                </c:pt>
                <c:pt idx="987">
                  <c:v>30427.599999999999</c:v>
                </c:pt>
                <c:pt idx="988">
                  <c:v>21661.3</c:v>
                </c:pt>
                <c:pt idx="989">
                  <c:v>#N/A</c:v>
                </c:pt>
                <c:pt idx="990">
                  <c:v>24217.200000000001</c:v>
                </c:pt>
                <c:pt idx="991">
                  <c:v>28563.5</c:v>
                </c:pt>
                <c:pt idx="992">
                  <c:v>42885.599999999999</c:v>
                </c:pt>
                <c:pt idx="993">
                  <c:v>33401.1</c:v>
                </c:pt>
                <c:pt idx="994">
                  <c:v>30766</c:v>
                </c:pt>
                <c:pt idx="995">
                  <c:v>41779.300000000003</c:v>
                </c:pt>
                <c:pt idx="996">
                  <c:v>30032.6</c:v>
                </c:pt>
                <c:pt idx="997">
                  <c:v>31021.9</c:v>
                </c:pt>
                <c:pt idx="998">
                  <c:v>24761</c:v>
                </c:pt>
                <c:pt idx="999">
                  <c:v>22214.2</c:v>
                </c:pt>
                <c:pt idx="1000">
                  <c:v>38095.699999999997</c:v>
                </c:pt>
                <c:pt idx="1001">
                  <c:v>28899.4</c:v>
                </c:pt>
                <c:pt idx="1002">
                  <c:v>44438.7</c:v>
                </c:pt>
                <c:pt idx="1003">
                  <c:v>35381.1</c:v>
                </c:pt>
                <c:pt idx="1004">
                  <c:v>35034.800000000003</c:v>
                </c:pt>
                <c:pt idx="1005">
                  <c:v>47983.7</c:v>
                </c:pt>
                <c:pt idx="1006">
                  <c:v>28326.5</c:v>
                </c:pt>
                <c:pt idx="1007">
                  <c:v>24740.6</c:v>
                </c:pt>
                <c:pt idx="1008">
                  <c:v>24831.5</c:v>
                </c:pt>
                <c:pt idx="1009">
                  <c:v>19617.8</c:v>
                </c:pt>
                <c:pt idx="1010">
                  <c:v>#N/A</c:v>
                </c:pt>
                <c:pt idx="1011">
                  <c:v>19947</c:v>
                </c:pt>
                <c:pt idx="1012">
                  <c:v>15661.5</c:v>
                </c:pt>
                <c:pt idx="1013">
                  <c:v>15042</c:v>
                </c:pt>
                <c:pt idx="1014">
                  <c:v>15994.5</c:v>
                </c:pt>
                <c:pt idx="1015">
                  <c:v>18000.8</c:v>
                </c:pt>
                <c:pt idx="1016">
                  <c:v>28918</c:v>
                </c:pt>
                <c:pt idx="1017">
                  <c:v>32674.3</c:v>
                </c:pt>
                <c:pt idx="1018">
                  <c:v>40054.300000000003</c:v>
                </c:pt>
                <c:pt idx="1019">
                  <c:v>39646.1</c:v>
                </c:pt>
                <c:pt idx="1020">
                  <c:v>32720</c:v>
                </c:pt>
                <c:pt idx="1021">
                  <c:v>44289.5</c:v>
                </c:pt>
                <c:pt idx="1022">
                  <c:v>29386.799999999999</c:v>
                </c:pt>
                <c:pt idx="1023">
                  <c:v>34372.199999999997</c:v>
                </c:pt>
                <c:pt idx="1024">
                  <c:v>45366</c:v>
                </c:pt>
                <c:pt idx="1025">
                  <c:v>39846.400000000001</c:v>
                </c:pt>
                <c:pt idx="1026">
                  <c:v>#N/A</c:v>
                </c:pt>
                <c:pt idx="1027">
                  <c:v>42434.1</c:v>
                </c:pt>
                <c:pt idx="1028">
                  <c:v>45933.9</c:v>
                </c:pt>
                <c:pt idx="1029">
                  <c:v>35380.699999999997</c:v>
                </c:pt>
                <c:pt idx="1030">
                  <c:v>57984.4</c:v>
                </c:pt>
                <c:pt idx="1031">
                  <c:v>86035.4</c:v>
                </c:pt>
                <c:pt idx="1032">
                  <c:v>72848.600000000006</c:v>
                </c:pt>
                <c:pt idx="1033">
                  <c:v>90428.9</c:v>
                </c:pt>
                <c:pt idx="1034">
                  <c:v>53481.3</c:v>
                </c:pt>
                <c:pt idx="1035">
                  <c:v>49743.7</c:v>
                </c:pt>
                <c:pt idx="1036">
                  <c:v>46444.5</c:v>
                </c:pt>
                <c:pt idx="1037">
                  <c:v>40950.400000000001</c:v>
                </c:pt>
                <c:pt idx="1038">
                  <c:v>36636</c:v>
                </c:pt>
                <c:pt idx="1039">
                  <c:v>43730</c:v>
                </c:pt>
                <c:pt idx="1040">
                  <c:v>35096.5</c:v>
                </c:pt>
                <c:pt idx="1041">
                  <c:v>28533.3</c:v>
                </c:pt>
                <c:pt idx="1042">
                  <c:v>32421.200000000001</c:v>
                </c:pt>
                <c:pt idx="1043">
                  <c:v>31284.7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A-3944-BF59-6C27A93D61E0}"/>
            </c:ext>
          </c:extLst>
        </c:ser>
        <c:ser>
          <c:idx val="1"/>
          <c:order val="1"/>
          <c:tx>
            <c:strRef>
              <c:f>Prices!$C$3</c:f>
              <c:strCache>
                <c:ptCount val="1"/>
                <c:pt idx="0">
                  <c:v>Dates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Prices!$C$4:$C$1047</c:f>
              <c:numCache>
                <c:formatCode>m/d/yy</c:formatCode>
                <c:ptCount val="1044"/>
                <c:pt idx="0">
                  <c:v>43140</c:v>
                </c:pt>
                <c:pt idx="1">
                  <c:v>43143</c:v>
                </c:pt>
                <c:pt idx="2">
                  <c:v>43144</c:v>
                </c:pt>
                <c:pt idx="3">
                  <c:v>43145</c:v>
                </c:pt>
                <c:pt idx="4">
                  <c:v>43146</c:v>
                </c:pt>
                <c:pt idx="5">
                  <c:v>43147</c:v>
                </c:pt>
                <c:pt idx="6">
                  <c:v>43150</c:v>
                </c:pt>
                <c:pt idx="7">
                  <c:v>43151</c:v>
                </c:pt>
                <c:pt idx="8">
                  <c:v>43152</c:v>
                </c:pt>
                <c:pt idx="9">
                  <c:v>43153</c:v>
                </c:pt>
                <c:pt idx="10">
                  <c:v>43154</c:v>
                </c:pt>
                <c:pt idx="11">
                  <c:v>43157</c:v>
                </c:pt>
                <c:pt idx="12">
                  <c:v>43158</c:v>
                </c:pt>
                <c:pt idx="13">
                  <c:v>43159</c:v>
                </c:pt>
                <c:pt idx="14">
                  <c:v>43160</c:v>
                </c:pt>
                <c:pt idx="15">
                  <c:v>43161</c:v>
                </c:pt>
                <c:pt idx="16">
                  <c:v>43164</c:v>
                </c:pt>
                <c:pt idx="17">
                  <c:v>43165</c:v>
                </c:pt>
                <c:pt idx="18">
                  <c:v>43166</c:v>
                </c:pt>
                <c:pt idx="19">
                  <c:v>43167</c:v>
                </c:pt>
                <c:pt idx="20">
                  <c:v>43168</c:v>
                </c:pt>
                <c:pt idx="21">
                  <c:v>43171</c:v>
                </c:pt>
                <c:pt idx="22">
                  <c:v>43172</c:v>
                </c:pt>
                <c:pt idx="23">
                  <c:v>43173</c:v>
                </c:pt>
                <c:pt idx="24">
                  <c:v>43174</c:v>
                </c:pt>
                <c:pt idx="25">
                  <c:v>43175</c:v>
                </c:pt>
                <c:pt idx="26">
                  <c:v>43178</c:v>
                </c:pt>
                <c:pt idx="27">
                  <c:v>43179</c:v>
                </c:pt>
                <c:pt idx="28">
                  <c:v>43180</c:v>
                </c:pt>
                <c:pt idx="29">
                  <c:v>43181</c:v>
                </c:pt>
                <c:pt idx="30">
                  <c:v>43182</c:v>
                </c:pt>
                <c:pt idx="31">
                  <c:v>43185</c:v>
                </c:pt>
                <c:pt idx="32">
                  <c:v>43186</c:v>
                </c:pt>
                <c:pt idx="33">
                  <c:v>43187</c:v>
                </c:pt>
                <c:pt idx="34">
                  <c:v>43188</c:v>
                </c:pt>
                <c:pt idx="35">
                  <c:v>43189</c:v>
                </c:pt>
                <c:pt idx="36">
                  <c:v>43192</c:v>
                </c:pt>
                <c:pt idx="37">
                  <c:v>43193</c:v>
                </c:pt>
                <c:pt idx="38">
                  <c:v>43194</c:v>
                </c:pt>
                <c:pt idx="39">
                  <c:v>43195</c:v>
                </c:pt>
                <c:pt idx="40">
                  <c:v>43196</c:v>
                </c:pt>
                <c:pt idx="41">
                  <c:v>43199</c:v>
                </c:pt>
                <c:pt idx="42">
                  <c:v>43200</c:v>
                </c:pt>
                <c:pt idx="43">
                  <c:v>43201</c:v>
                </c:pt>
                <c:pt idx="44">
                  <c:v>43202</c:v>
                </c:pt>
                <c:pt idx="45">
                  <c:v>43203</c:v>
                </c:pt>
                <c:pt idx="46">
                  <c:v>43206</c:v>
                </c:pt>
                <c:pt idx="47">
                  <c:v>43207</c:v>
                </c:pt>
                <c:pt idx="48">
                  <c:v>43208</c:v>
                </c:pt>
                <c:pt idx="49">
                  <c:v>43209</c:v>
                </c:pt>
                <c:pt idx="50">
                  <c:v>43210</c:v>
                </c:pt>
                <c:pt idx="51">
                  <c:v>43213</c:v>
                </c:pt>
                <c:pt idx="52">
                  <c:v>43214</c:v>
                </c:pt>
                <c:pt idx="53">
                  <c:v>43215</c:v>
                </c:pt>
                <c:pt idx="54">
                  <c:v>43216</c:v>
                </c:pt>
                <c:pt idx="55">
                  <c:v>43217</c:v>
                </c:pt>
                <c:pt idx="56">
                  <c:v>43220</c:v>
                </c:pt>
                <c:pt idx="57">
                  <c:v>43221</c:v>
                </c:pt>
                <c:pt idx="58">
                  <c:v>43222</c:v>
                </c:pt>
                <c:pt idx="59">
                  <c:v>43223</c:v>
                </c:pt>
                <c:pt idx="60">
                  <c:v>43224</c:v>
                </c:pt>
                <c:pt idx="61">
                  <c:v>43227</c:v>
                </c:pt>
                <c:pt idx="62">
                  <c:v>43228</c:v>
                </c:pt>
                <c:pt idx="63">
                  <c:v>43229</c:v>
                </c:pt>
                <c:pt idx="64">
                  <c:v>43230</c:v>
                </c:pt>
                <c:pt idx="65">
                  <c:v>43231</c:v>
                </c:pt>
                <c:pt idx="66">
                  <c:v>43234</c:v>
                </c:pt>
                <c:pt idx="67">
                  <c:v>43235</c:v>
                </c:pt>
                <c:pt idx="68">
                  <c:v>43236</c:v>
                </c:pt>
                <c:pt idx="69">
                  <c:v>43237</c:v>
                </c:pt>
                <c:pt idx="70">
                  <c:v>43238</c:v>
                </c:pt>
                <c:pt idx="71">
                  <c:v>43241</c:v>
                </c:pt>
                <c:pt idx="72">
                  <c:v>43242</c:v>
                </c:pt>
                <c:pt idx="73">
                  <c:v>43243</c:v>
                </c:pt>
                <c:pt idx="74">
                  <c:v>43244</c:v>
                </c:pt>
                <c:pt idx="75">
                  <c:v>43245</c:v>
                </c:pt>
                <c:pt idx="76">
                  <c:v>43248</c:v>
                </c:pt>
                <c:pt idx="77">
                  <c:v>43249</c:v>
                </c:pt>
                <c:pt idx="78">
                  <c:v>43250</c:v>
                </c:pt>
                <c:pt idx="79">
                  <c:v>43251</c:v>
                </c:pt>
                <c:pt idx="80">
                  <c:v>43252</c:v>
                </c:pt>
                <c:pt idx="81">
                  <c:v>43255</c:v>
                </c:pt>
                <c:pt idx="82">
                  <c:v>43256</c:v>
                </c:pt>
                <c:pt idx="83">
                  <c:v>43257</c:v>
                </c:pt>
                <c:pt idx="84">
                  <c:v>43258</c:v>
                </c:pt>
                <c:pt idx="85">
                  <c:v>43259</c:v>
                </c:pt>
                <c:pt idx="86">
                  <c:v>43262</c:v>
                </c:pt>
                <c:pt idx="87">
                  <c:v>43263</c:v>
                </c:pt>
                <c:pt idx="88">
                  <c:v>43264</c:v>
                </c:pt>
                <c:pt idx="89">
                  <c:v>43265</c:v>
                </c:pt>
                <c:pt idx="90">
                  <c:v>43266</c:v>
                </c:pt>
                <c:pt idx="91">
                  <c:v>43269</c:v>
                </c:pt>
                <c:pt idx="92">
                  <c:v>43270</c:v>
                </c:pt>
                <c:pt idx="93">
                  <c:v>43271</c:v>
                </c:pt>
                <c:pt idx="94">
                  <c:v>43272</c:v>
                </c:pt>
                <c:pt idx="95">
                  <c:v>43273</c:v>
                </c:pt>
                <c:pt idx="96">
                  <c:v>43276</c:v>
                </c:pt>
                <c:pt idx="97">
                  <c:v>43277</c:v>
                </c:pt>
                <c:pt idx="98">
                  <c:v>43278</c:v>
                </c:pt>
                <c:pt idx="99">
                  <c:v>43279</c:v>
                </c:pt>
                <c:pt idx="100">
                  <c:v>43280</c:v>
                </c:pt>
                <c:pt idx="101">
                  <c:v>43283</c:v>
                </c:pt>
                <c:pt idx="102">
                  <c:v>43284</c:v>
                </c:pt>
                <c:pt idx="103">
                  <c:v>43285</c:v>
                </c:pt>
                <c:pt idx="104">
                  <c:v>43286</c:v>
                </c:pt>
                <c:pt idx="105">
                  <c:v>43287</c:v>
                </c:pt>
                <c:pt idx="106">
                  <c:v>43290</c:v>
                </c:pt>
                <c:pt idx="107">
                  <c:v>43291</c:v>
                </c:pt>
                <c:pt idx="108">
                  <c:v>43292</c:v>
                </c:pt>
                <c:pt idx="109">
                  <c:v>43293</c:v>
                </c:pt>
                <c:pt idx="110">
                  <c:v>43294</c:v>
                </c:pt>
                <c:pt idx="111">
                  <c:v>43297</c:v>
                </c:pt>
                <c:pt idx="112">
                  <c:v>43298</c:v>
                </c:pt>
                <c:pt idx="113">
                  <c:v>43299</c:v>
                </c:pt>
                <c:pt idx="114">
                  <c:v>43300</c:v>
                </c:pt>
                <c:pt idx="115">
                  <c:v>43301</c:v>
                </c:pt>
                <c:pt idx="116">
                  <c:v>43304</c:v>
                </c:pt>
                <c:pt idx="117">
                  <c:v>43305</c:v>
                </c:pt>
                <c:pt idx="118">
                  <c:v>43306</c:v>
                </c:pt>
                <c:pt idx="119">
                  <c:v>43307</c:v>
                </c:pt>
                <c:pt idx="120">
                  <c:v>43308</c:v>
                </c:pt>
                <c:pt idx="121">
                  <c:v>43311</c:v>
                </c:pt>
                <c:pt idx="122">
                  <c:v>43312</c:v>
                </c:pt>
                <c:pt idx="123">
                  <c:v>43313</c:v>
                </c:pt>
                <c:pt idx="124">
                  <c:v>43314</c:v>
                </c:pt>
                <c:pt idx="125">
                  <c:v>43315</c:v>
                </c:pt>
                <c:pt idx="126">
                  <c:v>43318</c:v>
                </c:pt>
                <c:pt idx="127">
                  <c:v>43319</c:v>
                </c:pt>
                <c:pt idx="128">
                  <c:v>43320</c:v>
                </c:pt>
                <c:pt idx="129">
                  <c:v>43321</c:v>
                </c:pt>
                <c:pt idx="130">
                  <c:v>43322</c:v>
                </c:pt>
                <c:pt idx="131">
                  <c:v>43325</c:v>
                </c:pt>
                <c:pt idx="132">
                  <c:v>43326</c:v>
                </c:pt>
                <c:pt idx="133">
                  <c:v>43327</c:v>
                </c:pt>
                <c:pt idx="134">
                  <c:v>43328</c:v>
                </c:pt>
                <c:pt idx="135">
                  <c:v>43329</c:v>
                </c:pt>
                <c:pt idx="136">
                  <c:v>43332</c:v>
                </c:pt>
                <c:pt idx="137">
                  <c:v>43333</c:v>
                </c:pt>
                <c:pt idx="138">
                  <c:v>43334</c:v>
                </c:pt>
                <c:pt idx="139">
                  <c:v>43335</c:v>
                </c:pt>
                <c:pt idx="140">
                  <c:v>43336</c:v>
                </c:pt>
                <c:pt idx="141">
                  <c:v>43339</c:v>
                </c:pt>
                <c:pt idx="142">
                  <c:v>43340</c:v>
                </c:pt>
                <c:pt idx="143">
                  <c:v>43341</c:v>
                </c:pt>
                <c:pt idx="144">
                  <c:v>43342</c:v>
                </c:pt>
                <c:pt idx="145">
                  <c:v>43343</c:v>
                </c:pt>
                <c:pt idx="146">
                  <c:v>43346</c:v>
                </c:pt>
                <c:pt idx="147">
                  <c:v>43347</c:v>
                </c:pt>
                <c:pt idx="148">
                  <c:v>43348</c:v>
                </c:pt>
                <c:pt idx="149">
                  <c:v>43349</c:v>
                </c:pt>
                <c:pt idx="150">
                  <c:v>43350</c:v>
                </c:pt>
                <c:pt idx="151">
                  <c:v>43353</c:v>
                </c:pt>
                <c:pt idx="152">
                  <c:v>43354</c:v>
                </c:pt>
                <c:pt idx="153">
                  <c:v>43355</c:v>
                </c:pt>
                <c:pt idx="154">
                  <c:v>43356</c:v>
                </c:pt>
                <c:pt idx="155">
                  <c:v>43357</c:v>
                </c:pt>
                <c:pt idx="156">
                  <c:v>43360</c:v>
                </c:pt>
                <c:pt idx="157">
                  <c:v>43361</c:v>
                </c:pt>
                <c:pt idx="158">
                  <c:v>43362</c:v>
                </c:pt>
                <c:pt idx="159">
                  <c:v>43363</c:v>
                </c:pt>
                <c:pt idx="160">
                  <c:v>43364</c:v>
                </c:pt>
                <c:pt idx="161">
                  <c:v>43367</c:v>
                </c:pt>
                <c:pt idx="162">
                  <c:v>43368</c:v>
                </c:pt>
                <c:pt idx="163">
                  <c:v>43369</c:v>
                </c:pt>
                <c:pt idx="164">
                  <c:v>43370</c:v>
                </c:pt>
                <c:pt idx="165">
                  <c:v>43371</c:v>
                </c:pt>
                <c:pt idx="166">
                  <c:v>43374</c:v>
                </c:pt>
                <c:pt idx="167">
                  <c:v>43375</c:v>
                </c:pt>
                <c:pt idx="168">
                  <c:v>43376</c:v>
                </c:pt>
                <c:pt idx="169">
                  <c:v>43377</c:v>
                </c:pt>
                <c:pt idx="170">
                  <c:v>43378</c:v>
                </c:pt>
                <c:pt idx="171">
                  <c:v>43381</c:v>
                </c:pt>
                <c:pt idx="172">
                  <c:v>43382</c:v>
                </c:pt>
                <c:pt idx="173">
                  <c:v>43383</c:v>
                </c:pt>
                <c:pt idx="174">
                  <c:v>43384</c:v>
                </c:pt>
                <c:pt idx="175">
                  <c:v>43385</c:v>
                </c:pt>
                <c:pt idx="176">
                  <c:v>43388</c:v>
                </c:pt>
                <c:pt idx="177">
                  <c:v>43389</c:v>
                </c:pt>
                <c:pt idx="178">
                  <c:v>43390</c:v>
                </c:pt>
                <c:pt idx="179">
                  <c:v>43391</c:v>
                </c:pt>
                <c:pt idx="180">
                  <c:v>43392</c:v>
                </c:pt>
                <c:pt idx="181">
                  <c:v>43395</c:v>
                </c:pt>
                <c:pt idx="182">
                  <c:v>43396</c:v>
                </c:pt>
                <c:pt idx="183">
                  <c:v>43397</c:v>
                </c:pt>
                <c:pt idx="184">
                  <c:v>43398</c:v>
                </c:pt>
                <c:pt idx="185">
                  <c:v>43399</c:v>
                </c:pt>
                <c:pt idx="186">
                  <c:v>43402</c:v>
                </c:pt>
                <c:pt idx="187">
                  <c:v>43403</c:v>
                </c:pt>
                <c:pt idx="188">
                  <c:v>43404</c:v>
                </c:pt>
                <c:pt idx="189">
                  <c:v>43405</c:v>
                </c:pt>
                <c:pt idx="190">
                  <c:v>43406</c:v>
                </c:pt>
                <c:pt idx="191">
                  <c:v>43409</c:v>
                </c:pt>
                <c:pt idx="192">
                  <c:v>43410</c:v>
                </c:pt>
                <c:pt idx="193">
                  <c:v>43411</c:v>
                </c:pt>
                <c:pt idx="194">
                  <c:v>43412</c:v>
                </c:pt>
                <c:pt idx="195">
                  <c:v>43413</c:v>
                </c:pt>
                <c:pt idx="196">
                  <c:v>43416</c:v>
                </c:pt>
                <c:pt idx="197">
                  <c:v>43417</c:v>
                </c:pt>
                <c:pt idx="198">
                  <c:v>43418</c:v>
                </c:pt>
                <c:pt idx="199">
                  <c:v>43419</c:v>
                </c:pt>
                <c:pt idx="200">
                  <c:v>43420</c:v>
                </c:pt>
                <c:pt idx="201">
                  <c:v>43423</c:v>
                </c:pt>
                <c:pt idx="202">
                  <c:v>43424</c:v>
                </c:pt>
                <c:pt idx="203">
                  <c:v>43425</c:v>
                </c:pt>
                <c:pt idx="204">
                  <c:v>43426</c:v>
                </c:pt>
                <c:pt idx="205">
                  <c:v>43427</c:v>
                </c:pt>
                <c:pt idx="206">
                  <c:v>43430</c:v>
                </c:pt>
                <c:pt idx="207">
                  <c:v>43431</c:v>
                </c:pt>
                <c:pt idx="208">
                  <c:v>43432</c:v>
                </c:pt>
                <c:pt idx="209">
                  <c:v>43433</c:v>
                </c:pt>
                <c:pt idx="210">
                  <c:v>43434</c:v>
                </c:pt>
                <c:pt idx="211">
                  <c:v>43437</c:v>
                </c:pt>
                <c:pt idx="212">
                  <c:v>43438</c:v>
                </c:pt>
                <c:pt idx="213">
                  <c:v>43439</c:v>
                </c:pt>
                <c:pt idx="214">
                  <c:v>43440</c:v>
                </c:pt>
                <c:pt idx="215">
                  <c:v>43441</c:v>
                </c:pt>
                <c:pt idx="216">
                  <c:v>43444</c:v>
                </c:pt>
                <c:pt idx="217">
                  <c:v>43445</c:v>
                </c:pt>
                <c:pt idx="218">
                  <c:v>43446</c:v>
                </c:pt>
                <c:pt idx="219">
                  <c:v>43447</c:v>
                </c:pt>
                <c:pt idx="220">
                  <c:v>43448</c:v>
                </c:pt>
                <c:pt idx="221">
                  <c:v>43451</c:v>
                </c:pt>
                <c:pt idx="222">
                  <c:v>43452</c:v>
                </c:pt>
                <c:pt idx="223">
                  <c:v>43453</c:v>
                </c:pt>
                <c:pt idx="224">
                  <c:v>43454</c:v>
                </c:pt>
                <c:pt idx="225">
                  <c:v>43455</c:v>
                </c:pt>
                <c:pt idx="226">
                  <c:v>43458</c:v>
                </c:pt>
                <c:pt idx="227">
                  <c:v>43459</c:v>
                </c:pt>
                <c:pt idx="228">
                  <c:v>43460</c:v>
                </c:pt>
                <c:pt idx="229">
                  <c:v>43461</c:v>
                </c:pt>
                <c:pt idx="230">
                  <c:v>43462</c:v>
                </c:pt>
                <c:pt idx="231">
                  <c:v>43465</c:v>
                </c:pt>
                <c:pt idx="232">
                  <c:v>43466</c:v>
                </c:pt>
                <c:pt idx="233">
                  <c:v>43467</c:v>
                </c:pt>
                <c:pt idx="234">
                  <c:v>43468</c:v>
                </c:pt>
                <c:pt idx="235">
                  <c:v>43469</c:v>
                </c:pt>
                <c:pt idx="236">
                  <c:v>43472</c:v>
                </c:pt>
                <c:pt idx="237">
                  <c:v>43473</c:v>
                </c:pt>
                <c:pt idx="238">
                  <c:v>43474</c:v>
                </c:pt>
                <c:pt idx="239">
                  <c:v>43475</c:v>
                </c:pt>
                <c:pt idx="240">
                  <c:v>43476</c:v>
                </c:pt>
                <c:pt idx="241">
                  <c:v>43479</c:v>
                </c:pt>
                <c:pt idx="242">
                  <c:v>43480</c:v>
                </c:pt>
                <c:pt idx="243">
                  <c:v>43481</c:v>
                </c:pt>
                <c:pt idx="244">
                  <c:v>43482</c:v>
                </c:pt>
                <c:pt idx="245">
                  <c:v>43483</c:v>
                </c:pt>
                <c:pt idx="246">
                  <c:v>43486</c:v>
                </c:pt>
                <c:pt idx="247">
                  <c:v>43487</c:v>
                </c:pt>
                <c:pt idx="248">
                  <c:v>43488</c:v>
                </c:pt>
                <c:pt idx="249">
                  <c:v>43489</c:v>
                </c:pt>
                <c:pt idx="250">
                  <c:v>43490</c:v>
                </c:pt>
                <c:pt idx="251">
                  <c:v>43493</c:v>
                </c:pt>
                <c:pt idx="252">
                  <c:v>43494</c:v>
                </c:pt>
                <c:pt idx="253">
                  <c:v>43495</c:v>
                </c:pt>
                <c:pt idx="254">
                  <c:v>43496</c:v>
                </c:pt>
                <c:pt idx="255">
                  <c:v>43497</c:v>
                </c:pt>
                <c:pt idx="256">
                  <c:v>43500</c:v>
                </c:pt>
                <c:pt idx="257">
                  <c:v>43501</c:v>
                </c:pt>
                <c:pt idx="258">
                  <c:v>43502</c:v>
                </c:pt>
                <c:pt idx="259">
                  <c:v>43503</c:v>
                </c:pt>
                <c:pt idx="260">
                  <c:v>43504</c:v>
                </c:pt>
                <c:pt idx="261">
                  <c:v>43507</c:v>
                </c:pt>
                <c:pt idx="262">
                  <c:v>43508</c:v>
                </c:pt>
                <c:pt idx="263">
                  <c:v>43509</c:v>
                </c:pt>
                <c:pt idx="264">
                  <c:v>43510</c:v>
                </c:pt>
                <c:pt idx="265">
                  <c:v>43511</c:v>
                </c:pt>
                <c:pt idx="266">
                  <c:v>43514</c:v>
                </c:pt>
                <c:pt idx="267">
                  <c:v>43515</c:v>
                </c:pt>
                <c:pt idx="268">
                  <c:v>43516</c:v>
                </c:pt>
                <c:pt idx="269">
                  <c:v>43517</c:v>
                </c:pt>
                <c:pt idx="270">
                  <c:v>43518</c:v>
                </c:pt>
                <c:pt idx="271">
                  <c:v>43521</c:v>
                </c:pt>
                <c:pt idx="272">
                  <c:v>43522</c:v>
                </c:pt>
                <c:pt idx="273">
                  <c:v>43523</c:v>
                </c:pt>
                <c:pt idx="274">
                  <c:v>43524</c:v>
                </c:pt>
                <c:pt idx="275">
                  <c:v>43525</c:v>
                </c:pt>
                <c:pt idx="276">
                  <c:v>43528</c:v>
                </c:pt>
                <c:pt idx="277">
                  <c:v>43529</c:v>
                </c:pt>
                <c:pt idx="278">
                  <c:v>43530</c:v>
                </c:pt>
                <c:pt idx="279">
                  <c:v>43531</c:v>
                </c:pt>
                <c:pt idx="280">
                  <c:v>43532</c:v>
                </c:pt>
                <c:pt idx="281">
                  <c:v>43535</c:v>
                </c:pt>
                <c:pt idx="282">
                  <c:v>43536</c:v>
                </c:pt>
                <c:pt idx="283">
                  <c:v>43537</c:v>
                </c:pt>
                <c:pt idx="284">
                  <c:v>43538</c:v>
                </c:pt>
                <c:pt idx="285">
                  <c:v>43539</c:v>
                </c:pt>
                <c:pt idx="286">
                  <c:v>43542</c:v>
                </c:pt>
                <c:pt idx="287">
                  <c:v>43543</c:v>
                </c:pt>
                <c:pt idx="288">
                  <c:v>43544</c:v>
                </c:pt>
                <c:pt idx="289">
                  <c:v>43545</c:v>
                </c:pt>
                <c:pt idx="290">
                  <c:v>43546</c:v>
                </c:pt>
                <c:pt idx="291">
                  <c:v>43549</c:v>
                </c:pt>
                <c:pt idx="292">
                  <c:v>43550</c:v>
                </c:pt>
                <c:pt idx="293">
                  <c:v>43551</c:v>
                </c:pt>
                <c:pt idx="294">
                  <c:v>43552</c:v>
                </c:pt>
                <c:pt idx="295">
                  <c:v>43553</c:v>
                </c:pt>
                <c:pt idx="296">
                  <c:v>43556</c:v>
                </c:pt>
                <c:pt idx="297">
                  <c:v>43557</c:v>
                </c:pt>
                <c:pt idx="298">
                  <c:v>43558</c:v>
                </c:pt>
                <c:pt idx="299">
                  <c:v>43559</c:v>
                </c:pt>
                <c:pt idx="300">
                  <c:v>43560</c:v>
                </c:pt>
                <c:pt idx="301">
                  <c:v>43563</c:v>
                </c:pt>
                <c:pt idx="302">
                  <c:v>43564</c:v>
                </c:pt>
                <c:pt idx="303">
                  <c:v>43565</c:v>
                </c:pt>
                <c:pt idx="304">
                  <c:v>43566</c:v>
                </c:pt>
                <c:pt idx="305">
                  <c:v>43567</c:v>
                </c:pt>
                <c:pt idx="306">
                  <c:v>43570</c:v>
                </c:pt>
                <c:pt idx="307">
                  <c:v>43571</c:v>
                </c:pt>
                <c:pt idx="308">
                  <c:v>43572</c:v>
                </c:pt>
                <c:pt idx="309">
                  <c:v>43573</c:v>
                </c:pt>
                <c:pt idx="310">
                  <c:v>43574</c:v>
                </c:pt>
                <c:pt idx="311">
                  <c:v>43577</c:v>
                </c:pt>
                <c:pt idx="312">
                  <c:v>43578</c:v>
                </c:pt>
                <c:pt idx="313">
                  <c:v>43579</c:v>
                </c:pt>
                <c:pt idx="314">
                  <c:v>43580</c:v>
                </c:pt>
                <c:pt idx="315">
                  <c:v>43581</c:v>
                </c:pt>
                <c:pt idx="316">
                  <c:v>43584</c:v>
                </c:pt>
                <c:pt idx="317">
                  <c:v>43585</c:v>
                </c:pt>
                <c:pt idx="318">
                  <c:v>43586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43623</c:v>
                </c:pt>
                <c:pt idx="346">
                  <c:v>43626</c:v>
                </c:pt>
                <c:pt idx="347">
                  <c:v>43627</c:v>
                </c:pt>
                <c:pt idx="348">
                  <c:v>43628</c:v>
                </c:pt>
                <c:pt idx="349">
                  <c:v>43629</c:v>
                </c:pt>
                <c:pt idx="350">
                  <c:v>43630</c:v>
                </c:pt>
                <c:pt idx="351">
                  <c:v>43633</c:v>
                </c:pt>
                <c:pt idx="352">
                  <c:v>43634</c:v>
                </c:pt>
                <c:pt idx="353">
                  <c:v>43635</c:v>
                </c:pt>
                <c:pt idx="354">
                  <c:v>43636</c:v>
                </c:pt>
                <c:pt idx="355">
                  <c:v>43637</c:v>
                </c:pt>
                <c:pt idx="356">
                  <c:v>43640</c:v>
                </c:pt>
                <c:pt idx="357">
                  <c:v>43641</c:v>
                </c:pt>
                <c:pt idx="358">
                  <c:v>43642</c:v>
                </c:pt>
                <c:pt idx="359">
                  <c:v>43643</c:v>
                </c:pt>
                <c:pt idx="360">
                  <c:v>43644</c:v>
                </c:pt>
                <c:pt idx="361">
                  <c:v>43647</c:v>
                </c:pt>
                <c:pt idx="362">
                  <c:v>43648</c:v>
                </c:pt>
                <c:pt idx="363">
                  <c:v>43649</c:v>
                </c:pt>
                <c:pt idx="364">
                  <c:v>43650</c:v>
                </c:pt>
                <c:pt idx="365">
                  <c:v>43651</c:v>
                </c:pt>
                <c:pt idx="366">
                  <c:v>43654</c:v>
                </c:pt>
                <c:pt idx="367">
                  <c:v>43655</c:v>
                </c:pt>
                <c:pt idx="368">
                  <c:v>43656</c:v>
                </c:pt>
                <c:pt idx="369">
                  <c:v>43657</c:v>
                </c:pt>
                <c:pt idx="370">
                  <c:v>43658</c:v>
                </c:pt>
                <c:pt idx="371">
                  <c:v>43661</c:v>
                </c:pt>
                <c:pt idx="372">
                  <c:v>43662</c:v>
                </c:pt>
                <c:pt idx="373">
                  <c:v>43663</c:v>
                </c:pt>
                <c:pt idx="374">
                  <c:v>43664</c:v>
                </c:pt>
                <c:pt idx="375">
                  <c:v>43665</c:v>
                </c:pt>
                <c:pt idx="376">
                  <c:v>43668</c:v>
                </c:pt>
                <c:pt idx="377">
                  <c:v>43669</c:v>
                </c:pt>
                <c:pt idx="378">
                  <c:v>43670</c:v>
                </c:pt>
                <c:pt idx="379">
                  <c:v>43671</c:v>
                </c:pt>
                <c:pt idx="380">
                  <c:v>43672</c:v>
                </c:pt>
                <c:pt idx="381">
                  <c:v>43675</c:v>
                </c:pt>
                <c:pt idx="382">
                  <c:v>43676</c:v>
                </c:pt>
                <c:pt idx="383">
                  <c:v>43677</c:v>
                </c:pt>
                <c:pt idx="384">
                  <c:v>43678</c:v>
                </c:pt>
                <c:pt idx="385">
                  <c:v>43679</c:v>
                </c:pt>
                <c:pt idx="386">
                  <c:v>43682</c:v>
                </c:pt>
                <c:pt idx="387">
                  <c:v>43683</c:v>
                </c:pt>
                <c:pt idx="388">
                  <c:v>43684</c:v>
                </c:pt>
                <c:pt idx="389">
                  <c:v>43685</c:v>
                </c:pt>
                <c:pt idx="390">
                  <c:v>43686</c:v>
                </c:pt>
                <c:pt idx="391">
                  <c:v>43689</c:v>
                </c:pt>
                <c:pt idx="392">
                  <c:v>43690</c:v>
                </c:pt>
                <c:pt idx="393">
                  <c:v>43691</c:v>
                </c:pt>
                <c:pt idx="394">
                  <c:v>43692</c:v>
                </c:pt>
                <c:pt idx="395">
                  <c:v>43693</c:v>
                </c:pt>
                <c:pt idx="396">
                  <c:v>43696</c:v>
                </c:pt>
                <c:pt idx="397">
                  <c:v>43697</c:v>
                </c:pt>
                <c:pt idx="398">
                  <c:v>43698</c:v>
                </c:pt>
                <c:pt idx="399">
                  <c:v>43699</c:v>
                </c:pt>
                <c:pt idx="400">
                  <c:v>43700</c:v>
                </c:pt>
                <c:pt idx="401">
                  <c:v>43703</c:v>
                </c:pt>
                <c:pt idx="402">
                  <c:v>43704</c:v>
                </c:pt>
                <c:pt idx="403">
                  <c:v>43705</c:v>
                </c:pt>
                <c:pt idx="404">
                  <c:v>43706</c:v>
                </c:pt>
                <c:pt idx="405">
                  <c:v>43707</c:v>
                </c:pt>
                <c:pt idx="406">
                  <c:v>43710</c:v>
                </c:pt>
                <c:pt idx="407">
                  <c:v>43711</c:v>
                </c:pt>
                <c:pt idx="408">
                  <c:v>43712</c:v>
                </c:pt>
                <c:pt idx="409">
                  <c:v>43713</c:v>
                </c:pt>
                <c:pt idx="410">
                  <c:v>43714</c:v>
                </c:pt>
                <c:pt idx="411">
                  <c:v>43717</c:v>
                </c:pt>
                <c:pt idx="412">
                  <c:v>43718</c:v>
                </c:pt>
                <c:pt idx="413">
                  <c:v>43719</c:v>
                </c:pt>
                <c:pt idx="414">
                  <c:v>43720</c:v>
                </c:pt>
                <c:pt idx="415">
                  <c:v>43721</c:v>
                </c:pt>
                <c:pt idx="416">
                  <c:v>43724</c:v>
                </c:pt>
                <c:pt idx="417">
                  <c:v>43725</c:v>
                </c:pt>
                <c:pt idx="418">
                  <c:v>43726</c:v>
                </c:pt>
                <c:pt idx="419">
                  <c:v>43727</c:v>
                </c:pt>
                <c:pt idx="420">
                  <c:v>43728</c:v>
                </c:pt>
                <c:pt idx="421">
                  <c:v>43731</c:v>
                </c:pt>
                <c:pt idx="422">
                  <c:v>43732</c:v>
                </c:pt>
                <c:pt idx="423">
                  <c:v>43733</c:v>
                </c:pt>
                <c:pt idx="424">
                  <c:v>43734</c:v>
                </c:pt>
                <c:pt idx="425">
                  <c:v>43735</c:v>
                </c:pt>
                <c:pt idx="426">
                  <c:v>43738</c:v>
                </c:pt>
                <c:pt idx="427">
                  <c:v>43739</c:v>
                </c:pt>
                <c:pt idx="428">
                  <c:v>43740</c:v>
                </c:pt>
                <c:pt idx="429">
                  <c:v>43741</c:v>
                </c:pt>
                <c:pt idx="430">
                  <c:v>43742</c:v>
                </c:pt>
                <c:pt idx="431">
                  <c:v>43745</c:v>
                </c:pt>
                <c:pt idx="432">
                  <c:v>43746</c:v>
                </c:pt>
                <c:pt idx="433">
                  <c:v>43747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43824</c:v>
                </c:pt>
                <c:pt idx="489">
                  <c:v>43825</c:v>
                </c:pt>
                <c:pt idx="490">
                  <c:v>43826</c:v>
                </c:pt>
                <c:pt idx="491">
                  <c:v>43829</c:v>
                </c:pt>
                <c:pt idx="492">
                  <c:v>43830</c:v>
                </c:pt>
                <c:pt idx="493">
                  <c:v>43831</c:v>
                </c:pt>
                <c:pt idx="494">
                  <c:v>43832</c:v>
                </c:pt>
                <c:pt idx="495">
                  <c:v>43833</c:v>
                </c:pt>
                <c:pt idx="496">
                  <c:v>43836</c:v>
                </c:pt>
                <c:pt idx="497">
                  <c:v>43837</c:v>
                </c:pt>
                <c:pt idx="498">
                  <c:v>43838</c:v>
                </c:pt>
                <c:pt idx="499">
                  <c:v>43839</c:v>
                </c:pt>
                <c:pt idx="500">
                  <c:v>43840</c:v>
                </c:pt>
                <c:pt idx="501">
                  <c:v>43843</c:v>
                </c:pt>
                <c:pt idx="502">
                  <c:v>43844</c:v>
                </c:pt>
                <c:pt idx="503">
                  <c:v>43845</c:v>
                </c:pt>
                <c:pt idx="504">
                  <c:v>43846</c:v>
                </c:pt>
                <c:pt idx="505">
                  <c:v>43847</c:v>
                </c:pt>
                <c:pt idx="506">
                  <c:v>43850</c:v>
                </c:pt>
                <c:pt idx="507">
                  <c:v>43851</c:v>
                </c:pt>
                <c:pt idx="508">
                  <c:v>43852</c:v>
                </c:pt>
                <c:pt idx="509">
                  <c:v>43853</c:v>
                </c:pt>
                <c:pt idx="510">
                  <c:v>43854</c:v>
                </c:pt>
                <c:pt idx="511">
                  <c:v>43857</c:v>
                </c:pt>
                <c:pt idx="512">
                  <c:v>43858</c:v>
                </c:pt>
                <c:pt idx="513">
                  <c:v>43859</c:v>
                </c:pt>
                <c:pt idx="514">
                  <c:v>43860</c:v>
                </c:pt>
                <c:pt idx="515">
                  <c:v>43861</c:v>
                </c:pt>
                <c:pt idx="516">
                  <c:v>43864</c:v>
                </c:pt>
                <c:pt idx="517">
                  <c:v>43865</c:v>
                </c:pt>
                <c:pt idx="518">
                  <c:v>43866</c:v>
                </c:pt>
                <c:pt idx="519">
                  <c:v>43867</c:v>
                </c:pt>
                <c:pt idx="520">
                  <c:v>43868</c:v>
                </c:pt>
                <c:pt idx="521">
                  <c:v>43871</c:v>
                </c:pt>
                <c:pt idx="522">
                  <c:v>43872</c:v>
                </c:pt>
                <c:pt idx="523">
                  <c:v>43873</c:v>
                </c:pt>
                <c:pt idx="524">
                  <c:v>43874</c:v>
                </c:pt>
                <c:pt idx="525">
                  <c:v>43875</c:v>
                </c:pt>
                <c:pt idx="526">
                  <c:v>43878</c:v>
                </c:pt>
                <c:pt idx="527">
                  <c:v>43879</c:v>
                </c:pt>
                <c:pt idx="528">
                  <c:v>43880</c:v>
                </c:pt>
                <c:pt idx="529">
                  <c:v>43881</c:v>
                </c:pt>
                <c:pt idx="530">
                  <c:v>43882</c:v>
                </c:pt>
                <c:pt idx="531">
                  <c:v>43885</c:v>
                </c:pt>
                <c:pt idx="532">
                  <c:v>43886</c:v>
                </c:pt>
                <c:pt idx="533">
                  <c:v>43887</c:v>
                </c:pt>
                <c:pt idx="534">
                  <c:v>43888</c:v>
                </c:pt>
                <c:pt idx="535">
                  <c:v>43889</c:v>
                </c:pt>
                <c:pt idx="536">
                  <c:v>43892</c:v>
                </c:pt>
                <c:pt idx="537">
                  <c:v>43893</c:v>
                </c:pt>
                <c:pt idx="538">
                  <c:v>43894</c:v>
                </c:pt>
                <c:pt idx="539">
                  <c:v>43895</c:v>
                </c:pt>
                <c:pt idx="540">
                  <c:v>43896</c:v>
                </c:pt>
                <c:pt idx="541">
                  <c:v>43899</c:v>
                </c:pt>
                <c:pt idx="542">
                  <c:v>43900</c:v>
                </c:pt>
                <c:pt idx="543">
                  <c:v>43901</c:v>
                </c:pt>
                <c:pt idx="544">
                  <c:v>43902</c:v>
                </c:pt>
                <c:pt idx="545">
                  <c:v>43903</c:v>
                </c:pt>
                <c:pt idx="546">
                  <c:v>43906</c:v>
                </c:pt>
                <c:pt idx="547">
                  <c:v>43907</c:v>
                </c:pt>
                <c:pt idx="548">
                  <c:v>43908</c:v>
                </c:pt>
                <c:pt idx="549">
                  <c:v>43909</c:v>
                </c:pt>
                <c:pt idx="550">
                  <c:v>43910</c:v>
                </c:pt>
                <c:pt idx="551">
                  <c:v>43913</c:v>
                </c:pt>
                <c:pt idx="552">
                  <c:v>43914</c:v>
                </c:pt>
                <c:pt idx="553">
                  <c:v>43915</c:v>
                </c:pt>
                <c:pt idx="554">
                  <c:v>43916</c:v>
                </c:pt>
                <c:pt idx="555">
                  <c:v>43917</c:v>
                </c:pt>
                <c:pt idx="556">
                  <c:v>43920</c:v>
                </c:pt>
                <c:pt idx="557">
                  <c:v>43921</c:v>
                </c:pt>
                <c:pt idx="558">
                  <c:v>43922</c:v>
                </c:pt>
                <c:pt idx="559">
                  <c:v>43923</c:v>
                </c:pt>
                <c:pt idx="560">
                  <c:v>43924</c:v>
                </c:pt>
                <c:pt idx="561">
                  <c:v>43927</c:v>
                </c:pt>
                <c:pt idx="562">
                  <c:v>43928</c:v>
                </c:pt>
                <c:pt idx="563">
                  <c:v>43929</c:v>
                </c:pt>
                <c:pt idx="564">
                  <c:v>43930</c:v>
                </c:pt>
                <c:pt idx="565">
                  <c:v>43931</c:v>
                </c:pt>
                <c:pt idx="566">
                  <c:v>43934</c:v>
                </c:pt>
                <c:pt idx="567">
                  <c:v>43935</c:v>
                </c:pt>
                <c:pt idx="568">
                  <c:v>43936</c:v>
                </c:pt>
                <c:pt idx="569">
                  <c:v>43937</c:v>
                </c:pt>
                <c:pt idx="570">
                  <c:v>43938</c:v>
                </c:pt>
                <c:pt idx="571">
                  <c:v>43941</c:v>
                </c:pt>
                <c:pt idx="572">
                  <c:v>43942</c:v>
                </c:pt>
                <c:pt idx="573">
                  <c:v>43943</c:v>
                </c:pt>
                <c:pt idx="574">
                  <c:v>43944</c:v>
                </c:pt>
                <c:pt idx="575">
                  <c:v>43945</c:v>
                </c:pt>
                <c:pt idx="576">
                  <c:v>43948</c:v>
                </c:pt>
                <c:pt idx="577">
                  <c:v>43949</c:v>
                </c:pt>
                <c:pt idx="578">
                  <c:v>43950</c:v>
                </c:pt>
                <c:pt idx="579">
                  <c:v>43951</c:v>
                </c:pt>
                <c:pt idx="580">
                  <c:v>43952</c:v>
                </c:pt>
                <c:pt idx="581">
                  <c:v>43955</c:v>
                </c:pt>
                <c:pt idx="582">
                  <c:v>43956</c:v>
                </c:pt>
                <c:pt idx="583">
                  <c:v>43957</c:v>
                </c:pt>
                <c:pt idx="584">
                  <c:v>43958</c:v>
                </c:pt>
                <c:pt idx="585">
                  <c:v>43959</c:v>
                </c:pt>
                <c:pt idx="586">
                  <c:v>43962</c:v>
                </c:pt>
                <c:pt idx="587">
                  <c:v>43963</c:v>
                </c:pt>
                <c:pt idx="588">
                  <c:v>43964</c:v>
                </c:pt>
                <c:pt idx="589">
                  <c:v>43965</c:v>
                </c:pt>
                <c:pt idx="590">
                  <c:v>43966</c:v>
                </c:pt>
                <c:pt idx="591">
                  <c:v>43969</c:v>
                </c:pt>
                <c:pt idx="592">
                  <c:v>43970</c:v>
                </c:pt>
                <c:pt idx="593">
                  <c:v>43971</c:v>
                </c:pt>
                <c:pt idx="594">
                  <c:v>43972</c:v>
                </c:pt>
                <c:pt idx="595">
                  <c:v>43973</c:v>
                </c:pt>
                <c:pt idx="596">
                  <c:v>43976</c:v>
                </c:pt>
                <c:pt idx="597">
                  <c:v>43977</c:v>
                </c:pt>
                <c:pt idx="598">
                  <c:v>43978</c:v>
                </c:pt>
                <c:pt idx="599">
                  <c:v>43979</c:v>
                </c:pt>
                <c:pt idx="600">
                  <c:v>43980</c:v>
                </c:pt>
                <c:pt idx="601">
                  <c:v>43983</c:v>
                </c:pt>
                <c:pt idx="602">
                  <c:v>43984</c:v>
                </c:pt>
                <c:pt idx="603">
                  <c:v>43985</c:v>
                </c:pt>
                <c:pt idx="604">
                  <c:v>43986</c:v>
                </c:pt>
                <c:pt idx="605">
                  <c:v>43987</c:v>
                </c:pt>
                <c:pt idx="606">
                  <c:v>43990</c:v>
                </c:pt>
                <c:pt idx="607">
                  <c:v>43991</c:v>
                </c:pt>
                <c:pt idx="608">
                  <c:v>43992</c:v>
                </c:pt>
                <c:pt idx="609">
                  <c:v>43993</c:v>
                </c:pt>
                <c:pt idx="610">
                  <c:v>43994</c:v>
                </c:pt>
                <c:pt idx="611">
                  <c:v>43997</c:v>
                </c:pt>
                <c:pt idx="612">
                  <c:v>43998</c:v>
                </c:pt>
                <c:pt idx="613">
                  <c:v>43999</c:v>
                </c:pt>
                <c:pt idx="614">
                  <c:v>44000</c:v>
                </c:pt>
                <c:pt idx="615">
                  <c:v>44001</c:v>
                </c:pt>
                <c:pt idx="616">
                  <c:v>44004</c:v>
                </c:pt>
                <c:pt idx="617">
                  <c:v>44005</c:v>
                </c:pt>
                <c:pt idx="618">
                  <c:v>44006</c:v>
                </c:pt>
                <c:pt idx="619">
                  <c:v>44007</c:v>
                </c:pt>
                <c:pt idx="620">
                  <c:v>44008</c:v>
                </c:pt>
                <c:pt idx="621">
                  <c:v>44011</c:v>
                </c:pt>
                <c:pt idx="622">
                  <c:v>44012</c:v>
                </c:pt>
                <c:pt idx="623">
                  <c:v>44013</c:v>
                </c:pt>
                <c:pt idx="624">
                  <c:v>44014</c:v>
                </c:pt>
                <c:pt idx="625">
                  <c:v>44015</c:v>
                </c:pt>
                <c:pt idx="626">
                  <c:v>44018</c:v>
                </c:pt>
                <c:pt idx="627">
                  <c:v>44019</c:v>
                </c:pt>
                <c:pt idx="628">
                  <c:v>44020</c:v>
                </c:pt>
                <c:pt idx="629">
                  <c:v>44021</c:v>
                </c:pt>
                <c:pt idx="630">
                  <c:v>44022</c:v>
                </c:pt>
                <c:pt idx="631">
                  <c:v>44025</c:v>
                </c:pt>
                <c:pt idx="632">
                  <c:v>44026</c:v>
                </c:pt>
                <c:pt idx="633">
                  <c:v>44027</c:v>
                </c:pt>
                <c:pt idx="634">
                  <c:v>44028</c:v>
                </c:pt>
                <c:pt idx="635">
                  <c:v>44029</c:v>
                </c:pt>
                <c:pt idx="636">
                  <c:v>44032</c:v>
                </c:pt>
                <c:pt idx="637">
                  <c:v>44033</c:v>
                </c:pt>
                <c:pt idx="638">
                  <c:v>44034</c:v>
                </c:pt>
                <c:pt idx="639">
                  <c:v>44035</c:v>
                </c:pt>
                <c:pt idx="640">
                  <c:v>44036</c:v>
                </c:pt>
                <c:pt idx="641">
                  <c:v>44039</c:v>
                </c:pt>
                <c:pt idx="642">
                  <c:v>44040</c:v>
                </c:pt>
                <c:pt idx="643">
                  <c:v>44041</c:v>
                </c:pt>
                <c:pt idx="644">
                  <c:v>44042</c:v>
                </c:pt>
                <c:pt idx="645">
                  <c:v>44043</c:v>
                </c:pt>
                <c:pt idx="646">
                  <c:v>44046</c:v>
                </c:pt>
                <c:pt idx="647">
                  <c:v>44047</c:v>
                </c:pt>
                <c:pt idx="648">
                  <c:v>44048</c:v>
                </c:pt>
                <c:pt idx="649">
                  <c:v>44049</c:v>
                </c:pt>
                <c:pt idx="650">
                  <c:v>44050</c:v>
                </c:pt>
                <c:pt idx="651">
                  <c:v>44053</c:v>
                </c:pt>
                <c:pt idx="652">
                  <c:v>44054</c:v>
                </c:pt>
                <c:pt idx="653">
                  <c:v>44055</c:v>
                </c:pt>
                <c:pt idx="654">
                  <c:v>44056</c:v>
                </c:pt>
                <c:pt idx="655">
                  <c:v>44057</c:v>
                </c:pt>
                <c:pt idx="656">
                  <c:v>44060</c:v>
                </c:pt>
                <c:pt idx="657">
                  <c:v>44061</c:v>
                </c:pt>
                <c:pt idx="658">
                  <c:v>44062</c:v>
                </c:pt>
                <c:pt idx="659">
                  <c:v>44063</c:v>
                </c:pt>
                <c:pt idx="660">
                  <c:v>44064</c:v>
                </c:pt>
                <c:pt idx="661">
                  <c:v>44067</c:v>
                </c:pt>
                <c:pt idx="662">
                  <c:v>44068</c:v>
                </c:pt>
                <c:pt idx="663">
                  <c:v>44069</c:v>
                </c:pt>
                <c:pt idx="664">
                  <c:v>44070</c:v>
                </c:pt>
                <c:pt idx="665">
                  <c:v>44071</c:v>
                </c:pt>
                <c:pt idx="666">
                  <c:v>44074</c:v>
                </c:pt>
                <c:pt idx="667">
                  <c:v>44075</c:v>
                </c:pt>
                <c:pt idx="668">
                  <c:v>44076</c:v>
                </c:pt>
                <c:pt idx="669">
                  <c:v>44077</c:v>
                </c:pt>
                <c:pt idx="670">
                  <c:v>44078</c:v>
                </c:pt>
                <c:pt idx="671">
                  <c:v>44081</c:v>
                </c:pt>
                <c:pt idx="672">
                  <c:v>44082</c:v>
                </c:pt>
                <c:pt idx="673">
                  <c:v>44083</c:v>
                </c:pt>
                <c:pt idx="674">
                  <c:v>44084</c:v>
                </c:pt>
                <c:pt idx="675">
                  <c:v>44085</c:v>
                </c:pt>
                <c:pt idx="676">
                  <c:v>44088</c:v>
                </c:pt>
                <c:pt idx="677">
                  <c:v>44089</c:v>
                </c:pt>
                <c:pt idx="678">
                  <c:v>44090</c:v>
                </c:pt>
                <c:pt idx="679">
                  <c:v>44091</c:v>
                </c:pt>
                <c:pt idx="680">
                  <c:v>44092</c:v>
                </c:pt>
                <c:pt idx="681">
                  <c:v>44095</c:v>
                </c:pt>
                <c:pt idx="682">
                  <c:v>44096</c:v>
                </c:pt>
                <c:pt idx="683">
                  <c:v>44097</c:v>
                </c:pt>
                <c:pt idx="684">
                  <c:v>44098</c:v>
                </c:pt>
                <c:pt idx="685">
                  <c:v>44099</c:v>
                </c:pt>
                <c:pt idx="686">
                  <c:v>44102</c:v>
                </c:pt>
                <c:pt idx="687">
                  <c:v>44103</c:v>
                </c:pt>
                <c:pt idx="688">
                  <c:v>44104</c:v>
                </c:pt>
                <c:pt idx="689">
                  <c:v>44105</c:v>
                </c:pt>
                <c:pt idx="690">
                  <c:v>44106</c:v>
                </c:pt>
                <c:pt idx="691">
                  <c:v>44109</c:v>
                </c:pt>
                <c:pt idx="692">
                  <c:v>44110</c:v>
                </c:pt>
                <c:pt idx="693">
                  <c:v>44111</c:v>
                </c:pt>
                <c:pt idx="694">
                  <c:v>44112</c:v>
                </c:pt>
                <c:pt idx="695">
                  <c:v>44113</c:v>
                </c:pt>
                <c:pt idx="696">
                  <c:v>44116</c:v>
                </c:pt>
                <c:pt idx="697">
                  <c:v>44117</c:v>
                </c:pt>
                <c:pt idx="698">
                  <c:v>44118</c:v>
                </c:pt>
                <c:pt idx="699">
                  <c:v>44119</c:v>
                </c:pt>
                <c:pt idx="700">
                  <c:v>44120</c:v>
                </c:pt>
                <c:pt idx="701">
                  <c:v>44123</c:v>
                </c:pt>
                <c:pt idx="702">
                  <c:v>44124</c:v>
                </c:pt>
                <c:pt idx="703">
                  <c:v>44125</c:v>
                </c:pt>
                <c:pt idx="704">
                  <c:v>44126</c:v>
                </c:pt>
                <c:pt idx="705">
                  <c:v>44127</c:v>
                </c:pt>
                <c:pt idx="706">
                  <c:v>44130</c:v>
                </c:pt>
                <c:pt idx="707">
                  <c:v>44131</c:v>
                </c:pt>
                <c:pt idx="708">
                  <c:v>44132</c:v>
                </c:pt>
                <c:pt idx="709">
                  <c:v>44133</c:v>
                </c:pt>
                <c:pt idx="710">
                  <c:v>44134</c:v>
                </c:pt>
                <c:pt idx="711">
                  <c:v>44137</c:v>
                </c:pt>
                <c:pt idx="712">
                  <c:v>44138</c:v>
                </c:pt>
                <c:pt idx="713">
                  <c:v>44139</c:v>
                </c:pt>
                <c:pt idx="714">
                  <c:v>44140</c:v>
                </c:pt>
                <c:pt idx="715">
                  <c:v>44141</c:v>
                </c:pt>
                <c:pt idx="716">
                  <c:v>44144</c:v>
                </c:pt>
                <c:pt idx="717">
                  <c:v>44145</c:v>
                </c:pt>
                <c:pt idx="718">
                  <c:v>44146</c:v>
                </c:pt>
                <c:pt idx="719">
                  <c:v>44147</c:v>
                </c:pt>
                <c:pt idx="720">
                  <c:v>44148</c:v>
                </c:pt>
                <c:pt idx="721">
                  <c:v>44151</c:v>
                </c:pt>
                <c:pt idx="722">
                  <c:v>44152</c:v>
                </c:pt>
                <c:pt idx="723">
                  <c:v>44153</c:v>
                </c:pt>
                <c:pt idx="724">
                  <c:v>44154</c:v>
                </c:pt>
                <c:pt idx="725">
                  <c:v>44155</c:v>
                </c:pt>
                <c:pt idx="726">
                  <c:v>44158</c:v>
                </c:pt>
                <c:pt idx="727">
                  <c:v>44159</c:v>
                </c:pt>
                <c:pt idx="728">
                  <c:v>44160</c:v>
                </c:pt>
                <c:pt idx="729">
                  <c:v>44161</c:v>
                </c:pt>
                <c:pt idx="730">
                  <c:v>44162</c:v>
                </c:pt>
                <c:pt idx="731">
                  <c:v>44165</c:v>
                </c:pt>
                <c:pt idx="732">
                  <c:v>44166</c:v>
                </c:pt>
                <c:pt idx="733">
                  <c:v>44167</c:v>
                </c:pt>
                <c:pt idx="734">
                  <c:v>44168</c:v>
                </c:pt>
                <c:pt idx="735">
                  <c:v>44169</c:v>
                </c:pt>
                <c:pt idx="736">
                  <c:v>44172</c:v>
                </c:pt>
                <c:pt idx="737">
                  <c:v>44173</c:v>
                </c:pt>
                <c:pt idx="738">
                  <c:v>44174</c:v>
                </c:pt>
                <c:pt idx="739">
                  <c:v>44175</c:v>
                </c:pt>
                <c:pt idx="740">
                  <c:v>44176</c:v>
                </c:pt>
                <c:pt idx="741">
                  <c:v>44179</c:v>
                </c:pt>
                <c:pt idx="742">
                  <c:v>44180</c:v>
                </c:pt>
                <c:pt idx="743">
                  <c:v>44181</c:v>
                </c:pt>
                <c:pt idx="744">
                  <c:v>44182</c:v>
                </c:pt>
                <c:pt idx="745">
                  <c:v>44183</c:v>
                </c:pt>
                <c:pt idx="746">
                  <c:v>44186</c:v>
                </c:pt>
                <c:pt idx="747">
                  <c:v>44187</c:v>
                </c:pt>
                <c:pt idx="748">
                  <c:v>44188</c:v>
                </c:pt>
                <c:pt idx="749">
                  <c:v>44189</c:v>
                </c:pt>
                <c:pt idx="750">
                  <c:v>44190</c:v>
                </c:pt>
                <c:pt idx="751">
                  <c:v>44193</c:v>
                </c:pt>
                <c:pt idx="752">
                  <c:v>44194</c:v>
                </c:pt>
                <c:pt idx="753">
                  <c:v>44195</c:v>
                </c:pt>
                <c:pt idx="754">
                  <c:v>44196</c:v>
                </c:pt>
                <c:pt idx="755">
                  <c:v>44197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44214</c:v>
                </c:pt>
                <c:pt idx="767">
                  <c:v>44215</c:v>
                </c:pt>
                <c:pt idx="768">
                  <c:v>44216</c:v>
                </c:pt>
                <c:pt idx="769">
                  <c:v>44217</c:v>
                </c:pt>
                <c:pt idx="770">
                  <c:v>44218</c:v>
                </c:pt>
                <c:pt idx="771">
                  <c:v>44221</c:v>
                </c:pt>
                <c:pt idx="772">
                  <c:v>44222</c:v>
                </c:pt>
                <c:pt idx="773">
                  <c:v>44223</c:v>
                </c:pt>
                <c:pt idx="774">
                  <c:v>44224</c:v>
                </c:pt>
                <c:pt idx="775">
                  <c:v>44225</c:v>
                </c:pt>
                <c:pt idx="776">
                  <c:v>44228</c:v>
                </c:pt>
                <c:pt idx="777">
                  <c:v>44229</c:v>
                </c:pt>
                <c:pt idx="778">
                  <c:v>44230</c:v>
                </c:pt>
                <c:pt idx="779">
                  <c:v>44231</c:v>
                </c:pt>
                <c:pt idx="780">
                  <c:v>44232</c:v>
                </c:pt>
                <c:pt idx="781">
                  <c:v>44235</c:v>
                </c:pt>
                <c:pt idx="782">
                  <c:v>44236</c:v>
                </c:pt>
                <c:pt idx="783">
                  <c:v>44237</c:v>
                </c:pt>
                <c:pt idx="784">
                  <c:v>44238</c:v>
                </c:pt>
                <c:pt idx="785">
                  <c:v>44239</c:v>
                </c:pt>
                <c:pt idx="786">
                  <c:v>44242</c:v>
                </c:pt>
                <c:pt idx="787">
                  <c:v>44243</c:v>
                </c:pt>
                <c:pt idx="788">
                  <c:v>44244</c:v>
                </c:pt>
                <c:pt idx="789">
                  <c:v>44245</c:v>
                </c:pt>
                <c:pt idx="790">
                  <c:v>44246</c:v>
                </c:pt>
                <c:pt idx="791">
                  <c:v>44249</c:v>
                </c:pt>
                <c:pt idx="792">
                  <c:v>44250</c:v>
                </c:pt>
                <c:pt idx="793">
                  <c:v>44251</c:v>
                </c:pt>
                <c:pt idx="794">
                  <c:v>44252</c:v>
                </c:pt>
                <c:pt idx="795">
                  <c:v>44253</c:v>
                </c:pt>
                <c:pt idx="796">
                  <c:v>44256</c:v>
                </c:pt>
                <c:pt idx="797">
                  <c:v>44257</c:v>
                </c:pt>
                <c:pt idx="798">
                  <c:v>44258</c:v>
                </c:pt>
                <c:pt idx="799">
                  <c:v>44259</c:v>
                </c:pt>
                <c:pt idx="800">
                  <c:v>44260</c:v>
                </c:pt>
                <c:pt idx="801">
                  <c:v>44263</c:v>
                </c:pt>
                <c:pt idx="802">
                  <c:v>44264</c:v>
                </c:pt>
                <c:pt idx="803">
                  <c:v>44265</c:v>
                </c:pt>
                <c:pt idx="804">
                  <c:v>44266</c:v>
                </c:pt>
                <c:pt idx="805">
                  <c:v>44267</c:v>
                </c:pt>
                <c:pt idx="806">
                  <c:v>44270</c:v>
                </c:pt>
                <c:pt idx="807">
                  <c:v>44271</c:v>
                </c:pt>
                <c:pt idx="808">
                  <c:v>44272</c:v>
                </c:pt>
                <c:pt idx="809">
                  <c:v>44273</c:v>
                </c:pt>
                <c:pt idx="810">
                  <c:v>44274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44284</c:v>
                </c:pt>
                <c:pt idx="817">
                  <c:v>44285</c:v>
                </c:pt>
                <c:pt idx="818">
                  <c:v>44286</c:v>
                </c:pt>
                <c:pt idx="819">
                  <c:v>44287</c:v>
                </c:pt>
                <c:pt idx="820">
                  <c:v>44288</c:v>
                </c:pt>
                <c:pt idx="821">
                  <c:v>44291</c:v>
                </c:pt>
                <c:pt idx="822">
                  <c:v>44292</c:v>
                </c:pt>
                <c:pt idx="823">
                  <c:v>44293</c:v>
                </c:pt>
                <c:pt idx="824">
                  <c:v>44294</c:v>
                </c:pt>
                <c:pt idx="825">
                  <c:v>44295</c:v>
                </c:pt>
                <c:pt idx="826">
                  <c:v>44298</c:v>
                </c:pt>
                <c:pt idx="827">
                  <c:v>44299</c:v>
                </c:pt>
                <c:pt idx="828">
                  <c:v>44300</c:v>
                </c:pt>
                <c:pt idx="829">
                  <c:v>44301</c:v>
                </c:pt>
                <c:pt idx="830">
                  <c:v>44302</c:v>
                </c:pt>
                <c:pt idx="831">
                  <c:v>44305</c:v>
                </c:pt>
                <c:pt idx="832">
                  <c:v>44306</c:v>
                </c:pt>
                <c:pt idx="833">
                  <c:v>44307</c:v>
                </c:pt>
                <c:pt idx="834">
                  <c:v>44308</c:v>
                </c:pt>
                <c:pt idx="835">
                  <c:v>44309</c:v>
                </c:pt>
                <c:pt idx="836">
                  <c:v>44312</c:v>
                </c:pt>
                <c:pt idx="837">
                  <c:v>44313</c:v>
                </c:pt>
                <c:pt idx="838">
                  <c:v>44314</c:v>
                </c:pt>
                <c:pt idx="839">
                  <c:v>44315</c:v>
                </c:pt>
                <c:pt idx="840">
                  <c:v>44316</c:v>
                </c:pt>
                <c:pt idx="841">
                  <c:v>44319</c:v>
                </c:pt>
                <c:pt idx="842">
                  <c:v>44320</c:v>
                </c:pt>
                <c:pt idx="843">
                  <c:v>44321</c:v>
                </c:pt>
                <c:pt idx="844">
                  <c:v>44322</c:v>
                </c:pt>
                <c:pt idx="845">
                  <c:v>44323</c:v>
                </c:pt>
                <c:pt idx="846">
                  <c:v>44326</c:v>
                </c:pt>
                <c:pt idx="847">
                  <c:v>44327</c:v>
                </c:pt>
                <c:pt idx="848">
                  <c:v>44328</c:v>
                </c:pt>
                <c:pt idx="849">
                  <c:v>44329</c:v>
                </c:pt>
                <c:pt idx="850">
                  <c:v>44330</c:v>
                </c:pt>
                <c:pt idx="851">
                  <c:v>44333</c:v>
                </c:pt>
                <c:pt idx="852">
                  <c:v>44334</c:v>
                </c:pt>
                <c:pt idx="853">
                  <c:v>44335</c:v>
                </c:pt>
                <c:pt idx="854">
                  <c:v>44336</c:v>
                </c:pt>
                <c:pt idx="855">
                  <c:v>44337</c:v>
                </c:pt>
                <c:pt idx="856">
                  <c:v>44340</c:v>
                </c:pt>
                <c:pt idx="857">
                  <c:v>44341</c:v>
                </c:pt>
                <c:pt idx="858">
                  <c:v>44342</c:v>
                </c:pt>
                <c:pt idx="859">
                  <c:v>44343</c:v>
                </c:pt>
                <c:pt idx="860">
                  <c:v>44344</c:v>
                </c:pt>
                <c:pt idx="861">
                  <c:v>44347</c:v>
                </c:pt>
                <c:pt idx="862">
                  <c:v>44348</c:v>
                </c:pt>
                <c:pt idx="863">
                  <c:v>44349</c:v>
                </c:pt>
                <c:pt idx="864">
                  <c:v>44350</c:v>
                </c:pt>
                <c:pt idx="865">
                  <c:v>44351</c:v>
                </c:pt>
                <c:pt idx="866">
                  <c:v>44354</c:v>
                </c:pt>
                <c:pt idx="867">
                  <c:v>44355</c:v>
                </c:pt>
                <c:pt idx="868">
                  <c:v>44356</c:v>
                </c:pt>
                <c:pt idx="869">
                  <c:v>44357</c:v>
                </c:pt>
                <c:pt idx="870">
                  <c:v>44358</c:v>
                </c:pt>
                <c:pt idx="871">
                  <c:v>44361</c:v>
                </c:pt>
                <c:pt idx="872">
                  <c:v>44362</c:v>
                </c:pt>
                <c:pt idx="873">
                  <c:v>44363</c:v>
                </c:pt>
                <c:pt idx="874">
                  <c:v>44364</c:v>
                </c:pt>
                <c:pt idx="875">
                  <c:v>44365</c:v>
                </c:pt>
                <c:pt idx="876">
                  <c:v>44368</c:v>
                </c:pt>
                <c:pt idx="877">
                  <c:v>44369</c:v>
                </c:pt>
                <c:pt idx="878">
                  <c:v>44370</c:v>
                </c:pt>
                <c:pt idx="879">
                  <c:v>44371</c:v>
                </c:pt>
                <c:pt idx="880">
                  <c:v>44372</c:v>
                </c:pt>
                <c:pt idx="881">
                  <c:v>44375</c:v>
                </c:pt>
                <c:pt idx="882">
                  <c:v>44376</c:v>
                </c:pt>
                <c:pt idx="883">
                  <c:v>44377</c:v>
                </c:pt>
                <c:pt idx="884">
                  <c:v>44378</c:v>
                </c:pt>
                <c:pt idx="885">
                  <c:v>44379</c:v>
                </c:pt>
                <c:pt idx="886">
                  <c:v>44382</c:v>
                </c:pt>
                <c:pt idx="887">
                  <c:v>44383</c:v>
                </c:pt>
                <c:pt idx="888">
                  <c:v>44384</c:v>
                </c:pt>
                <c:pt idx="889">
                  <c:v>44385</c:v>
                </c:pt>
                <c:pt idx="890">
                  <c:v>44386</c:v>
                </c:pt>
                <c:pt idx="891">
                  <c:v>44389</c:v>
                </c:pt>
                <c:pt idx="892">
                  <c:v>44390</c:v>
                </c:pt>
                <c:pt idx="893">
                  <c:v>44391</c:v>
                </c:pt>
                <c:pt idx="894">
                  <c:v>44392</c:v>
                </c:pt>
                <c:pt idx="895">
                  <c:v>44393</c:v>
                </c:pt>
                <c:pt idx="896">
                  <c:v>44396</c:v>
                </c:pt>
                <c:pt idx="897">
                  <c:v>44397</c:v>
                </c:pt>
                <c:pt idx="898">
                  <c:v>44398</c:v>
                </c:pt>
                <c:pt idx="899">
                  <c:v>44399</c:v>
                </c:pt>
                <c:pt idx="900">
                  <c:v>44400</c:v>
                </c:pt>
                <c:pt idx="901">
                  <c:v>44403</c:v>
                </c:pt>
                <c:pt idx="902">
                  <c:v>44404</c:v>
                </c:pt>
                <c:pt idx="903">
                  <c:v>44405</c:v>
                </c:pt>
                <c:pt idx="904">
                  <c:v>44406</c:v>
                </c:pt>
                <c:pt idx="905">
                  <c:v>44407</c:v>
                </c:pt>
                <c:pt idx="906">
                  <c:v>44410</c:v>
                </c:pt>
                <c:pt idx="907">
                  <c:v>44411</c:v>
                </c:pt>
                <c:pt idx="908">
                  <c:v>44412</c:v>
                </c:pt>
                <c:pt idx="909">
                  <c:v>44413</c:v>
                </c:pt>
                <c:pt idx="910">
                  <c:v>44414</c:v>
                </c:pt>
                <c:pt idx="911">
                  <c:v>44417</c:v>
                </c:pt>
                <c:pt idx="912">
                  <c:v>44418</c:v>
                </c:pt>
                <c:pt idx="913">
                  <c:v>44419</c:v>
                </c:pt>
                <c:pt idx="914">
                  <c:v>44420</c:v>
                </c:pt>
                <c:pt idx="915">
                  <c:v>44421</c:v>
                </c:pt>
                <c:pt idx="916">
                  <c:v>44424</c:v>
                </c:pt>
                <c:pt idx="917">
                  <c:v>44425</c:v>
                </c:pt>
                <c:pt idx="918">
                  <c:v>44426</c:v>
                </c:pt>
                <c:pt idx="919">
                  <c:v>44427</c:v>
                </c:pt>
                <c:pt idx="920">
                  <c:v>44428</c:v>
                </c:pt>
                <c:pt idx="921">
                  <c:v>44431</c:v>
                </c:pt>
                <c:pt idx="922">
                  <c:v>44432</c:v>
                </c:pt>
                <c:pt idx="923">
                  <c:v>44433</c:v>
                </c:pt>
                <c:pt idx="924">
                  <c:v>44434</c:v>
                </c:pt>
                <c:pt idx="925">
                  <c:v>44435</c:v>
                </c:pt>
                <c:pt idx="926">
                  <c:v>44438</c:v>
                </c:pt>
                <c:pt idx="927">
                  <c:v>44439</c:v>
                </c:pt>
                <c:pt idx="928">
                  <c:v>44440</c:v>
                </c:pt>
                <c:pt idx="929">
                  <c:v>44441</c:v>
                </c:pt>
                <c:pt idx="930">
                  <c:v>44442</c:v>
                </c:pt>
                <c:pt idx="931">
                  <c:v>44445</c:v>
                </c:pt>
                <c:pt idx="932">
                  <c:v>44446</c:v>
                </c:pt>
                <c:pt idx="933">
                  <c:v>44447</c:v>
                </c:pt>
                <c:pt idx="934">
                  <c:v>44448</c:v>
                </c:pt>
                <c:pt idx="935">
                  <c:v>44449</c:v>
                </c:pt>
                <c:pt idx="936">
                  <c:v>44452</c:v>
                </c:pt>
                <c:pt idx="937">
                  <c:v>44453</c:v>
                </c:pt>
                <c:pt idx="938">
                  <c:v>44454</c:v>
                </c:pt>
                <c:pt idx="939">
                  <c:v>44455</c:v>
                </c:pt>
                <c:pt idx="940">
                  <c:v>44456</c:v>
                </c:pt>
                <c:pt idx="941">
                  <c:v>44459</c:v>
                </c:pt>
                <c:pt idx="942">
                  <c:v>44460</c:v>
                </c:pt>
                <c:pt idx="943">
                  <c:v>44461</c:v>
                </c:pt>
                <c:pt idx="944">
                  <c:v>44462</c:v>
                </c:pt>
                <c:pt idx="945">
                  <c:v>44463</c:v>
                </c:pt>
                <c:pt idx="946">
                  <c:v>44466</c:v>
                </c:pt>
                <c:pt idx="947">
                  <c:v>44467</c:v>
                </c:pt>
                <c:pt idx="948">
                  <c:v>44468</c:v>
                </c:pt>
                <c:pt idx="949">
                  <c:v>44469</c:v>
                </c:pt>
                <c:pt idx="950">
                  <c:v>44470</c:v>
                </c:pt>
                <c:pt idx="951">
                  <c:v>44473</c:v>
                </c:pt>
                <c:pt idx="952">
                  <c:v>44474</c:v>
                </c:pt>
                <c:pt idx="953">
                  <c:v>44475</c:v>
                </c:pt>
                <c:pt idx="954">
                  <c:v>44476</c:v>
                </c:pt>
                <c:pt idx="955">
                  <c:v>44477</c:v>
                </c:pt>
                <c:pt idx="956">
                  <c:v>44480</c:v>
                </c:pt>
                <c:pt idx="957">
                  <c:v>44481</c:v>
                </c:pt>
                <c:pt idx="958">
                  <c:v>44482</c:v>
                </c:pt>
                <c:pt idx="959">
                  <c:v>44483</c:v>
                </c:pt>
                <c:pt idx="960">
                  <c:v>44484</c:v>
                </c:pt>
                <c:pt idx="961">
                  <c:v>44487</c:v>
                </c:pt>
                <c:pt idx="962">
                  <c:v>44488</c:v>
                </c:pt>
                <c:pt idx="963">
                  <c:v>44489</c:v>
                </c:pt>
                <c:pt idx="964">
                  <c:v>44490</c:v>
                </c:pt>
                <c:pt idx="965">
                  <c:v>44491</c:v>
                </c:pt>
                <c:pt idx="966">
                  <c:v>44494</c:v>
                </c:pt>
                <c:pt idx="967">
                  <c:v>44495</c:v>
                </c:pt>
                <c:pt idx="968">
                  <c:v>44496</c:v>
                </c:pt>
                <c:pt idx="969">
                  <c:v>44497</c:v>
                </c:pt>
                <c:pt idx="970">
                  <c:v>44498</c:v>
                </c:pt>
                <c:pt idx="971">
                  <c:v>44501</c:v>
                </c:pt>
                <c:pt idx="972">
                  <c:v>44502</c:v>
                </c:pt>
                <c:pt idx="973">
                  <c:v>44503</c:v>
                </c:pt>
                <c:pt idx="974">
                  <c:v>44504</c:v>
                </c:pt>
                <c:pt idx="975">
                  <c:v>44505</c:v>
                </c:pt>
                <c:pt idx="976">
                  <c:v>44508</c:v>
                </c:pt>
                <c:pt idx="977">
                  <c:v>44509</c:v>
                </c:pt>
                <c:pt idx="978">
                  <c:v>44510</c:v>
                </c:pt>
                <c:pt idx="979">
                  <c:v>44511</c:v>
                </c:pt>
                <c:pt idx="980">
                  <c:v>44512</c:v>
                </c:pt>
                <c:pt idx="981">
                  <c:v>44515</c:v>
                </c:pt>
                <c:pt idx="982">
                  <c:v>44516</c:v>
                </c:pt>
                <c:pt idx="983">
                  <c:v>44517</c:v>
                </c:pt>
                <c:pt idx="984">
                  <c:v>44518</c:v>
                </c:pt>
                <c:pt idx="985">
                  <c:v>44519</c:v>
                </c:pt>
                <c:pt idx="986">
                  <c:v>44522</c:v>
                </c:pt>
                <c:pt idx="987">
                  <c:v>44523</c:v>
                </c:pt>
                <c:pt idx="988">
                  <c:v>44524</c:v>
                </c:pt>
                <c:pt idx="989">
                  <c:v>44525</c:v>
                </c:pt>
                <c:pt idx="990">
                  <c:v>44526</c:v>
                </c:pt>
                <c:pt idx="991">
                  <c:v>44529</c:v>
                </c:pt>
                <c:pt idx="992">
                  <c:v>44530</c:v>
                </c:pt>
                <c:pt idx="993">
                  <c:v>44531</c:v>
                </c:pt>
                <c:pt idx="994">
                  <c:v>44532</c:v>
                </c:pt>
                <c:pt idx="995">
                  <c:v>44533</c:v>
                </c:pt>
                <c:pt idx="996">
                  <c:v>44536</c:v>
                </c:pt>
                <c:pt idx="997">
                  <c:v>44537</c:v>
                </c:pt>
                <c:pt idx="998">
                  <c:v>44538</c:v>
                </c:pt>
                <c:pt idx="999">
                  <c:v>44539</c:v>
                </c:pt>
                <c:pt idx="1000">
                  <c:v>44540</c:v>
                </c:pt>
                <c:pt idx="1001">
                  <c:v>44543</c:v>
                </c:pt>
                <c:pt idx="1002">
                  <c:v>44544</c:v>
                </c:pt>
                <c:pt idx="1003">
                  <c:v>44545</c:v>
                </c:pt>
                <c:pt idx="1004">
                  <c:v>44546</c:v>
                </c:pt>
                <c:pt idx="1005">
                  <c:v>44547</c:v>
                </c:pt>
                <c:pt idx="1006">
                  <c:v>44550</c:v>
                </c:pt>
                <c:pt idx="1007">
                  <c:v>44551</c:v>
                </c:pt>
                <c:pt idx="1008">
                  <c:v>44552</c:v>
                </c:pt>
                <c:pt idx="1009">
                  <c:v>44553</c:v>
                </c:pt>
                <c:pt idx="1010">
                  <c:v>44554</c:v>
                </c:pt>
                <c:pt idx="1011">
                  <c:v>44557</c:v>
                </c:pt>
                <c:pt idx="1012">
                  <c:v>44558</c:v>
                </c:pt>
                <c:pt idx="1013">
                  <c:v>44559</c:v>
                </c:pt>
                <c:pt idx="1014">
                  <c:v>44560</c:v>
                </c:pt>
                <c:pt idx="1015">
                  <c:v>44561</c:v>
                </c:pt>
                <c:pt idx="1016">
                  <c:v>44564</c:v>
                </c:pt>
                <c:pt idx="1017">
                  <c:v>44565</c:v>
                </c:pt>
                <c:pt idx="1018">
                  <c:v>44566</c:v>
                </c:pt>
                <c:pt idx="1019">
                  <c:v>44567</c:v>
                </c:pt>
                <c:pt idx="1020">
                  <c:v>44568</c:v>
                </c:pt>
                <c:pt idx="1021">
                  <c:v>44571</c:v>
                </c:pt>
                <c:pt idx="1022">
                  <c:v>44572</c:v>
                </c:pt>
                <c:pt idx="1023">
                  <c:v>44573</c:v>
                </c:pt>
                <c:pt idx="1024">
                  <c:v>44574</c:v>
                </c:pt>
                <c:pt idx="1025">
                  <c:v>44575</c:v>
                </c:pt>
                <c:pt idx="1026">
                  <c:v>44578</c:v>
                </c:pt>
                <c:pt idx="1027">
                  <c:v>44579</c:v>
                </c:pt>
                <c:pt idx="1028">
                  <c:v>44580</c:v>
                </c:pt>
                <c:pt idx="1029">
                  <c:v>44581</c:v>
                </c:pt>
                <c:pt idx="1030">
                  <c:v>44582</c:v>
                </c:pt>
                <c:pt idx="1031">
                  <c:v>44585</c:v>
                </c:pt>
                <c:pt idx="1032">
                  <c:v>44586</c:v>
                </c:pt>
                <c:pt idx="1033">
                  <c:v>44587</c:v>
                </c:pt>
                <c:pt idx="1034">
                  <c:v>44588</c:v>
                </c:pt>
                <c:pt idx="1035">
                  <c:v>44589</c:v>
                </c:pt>
                <c:pt idx="1036">
                  <c:v>44592</c:v>
                </c:pt>
                <c:pt idx="1037">
                  <c:v>44593</c:v>
                </c:pt>
                <c:pt idx="1038">
                  <c:v>44594</c:v>
                </c:pt>
                <c:pt idx="1039">
                  <c:v>44595</c:v>
                </c:pt>
                <c:pt idx="1040">
                  <c:v>44596</c:v>
                </c:pt>
                <c:pt idx="1041">
                  <c:v>44599</c:v>
                </c:pt>
                <c:pt idx="1042">
                  <c:v>44600</c:v>
                </c:pt>
                <c:pt idx="1043">
                  <c:v>44601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0A-3944-BF59-6C27A93D6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432831"/>
        <c:axId val="2036583935"/>
      </c:areaChart>
      <c:barChart>
        <c:barDir val="col"/>
        <c:grouping val="clustered"/>
        <c:varyColors val="0"/>
        <c:ser>
          <c:idx val="2"/>
          <c:order val="2"/>
          <c:tx>
            <c:strRef>
              <c:f>Prices!$D$3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Prices!$D$4:$D$1047</c:f>
              <c:numCache>
                <c:formatCode>General</c:formatCode>
                <c:ptCount val="1044"/>
                <c:pt idx="0">
                  <c:v>88.18</c:v>
                </c:pt>
                <c:pt idx="1">
                  <c:v>89.13</c:v>
                </c:pt>
                <c:pt idx="2">
                  <c:v>89.83</c:v>
                </c:pt>
                <c:pt idx="3">
                  <c:v>90.81</c:v>
                </c:pt>
                <c:pt idx="4">
                  <c:v>92.66</c:v>
                </c:pt>
                <c:pt idx="5">
                  <c:v>92</c:v>
                </c:pt>
                <c:pt idx="6">
                  <c:v>92</c:v>
                </c:pt>
                <c:pt idx="7">
                  <c:v>92.72</c:v>
                </c:pt>
                <c:pt idx="8">
                  <c:v>91.49</c:v>
                </c:pt>
                <c:pt idx="9">
                  <c:v>91.73</c:v>
                </c:pt>
                <c:pt idx="10">
                  <c:v>94.06</c:v>
                </c:pt>
                <c:pt idx="11">
                  <c:v>95.42</c:v>
                </c:pt>
                <c:pt idx="12">
                  <c:v>94.2</c:v>
                </c:pt>
                <c:pt idx="13">
                  <c:v>93.77</c:v>
                </c:pt>
                <c:pt idx="14">
                  <c:v>92.85</c:v>
                </c:pt>
                <c:pt idx="15">
                  <c:v>93.05</c:v>
                </c:pt>
                <c:pt idx="16">
                  <c:v>93.64</c:v>
                </c:pt>
                <c:pt idx="17">
                  <c:v>93.32</c:v>
                </c:pt>
                <c:pt idx="18">
                  <c:v>93.86</c:v>
                </c:pt>
                <c:pt idx="19">
                  <c:v>94.43</c:v>
                </c:pt>
                <c:pt idx="20">
                  <c:v>96.54</c:v>
                </c:pt>
                <c:pt idx="21">
                  <c:v>96.77</c:v>
                </c:pt>
                <c:pt idx="22">
                  <c:v>94.41</c:v>
                </c:pt>
                <c:pt idx="23">
                  <c:v>93.85</c:v>
                </c:pt>
                <c:pt idx="24">
                  <c:v>94.18</c:v>
                </c:pt>
                <c:pt idx="25">
                  <c:v>94.6</c:v>
                </c:pt>
                <c:pt idx="26">
                  <c:v>92.89</c:v>
                </c:pt>
                <c:pt idx="27">
                  <c:v>93.13</c:v>
                </c:pt>
                <c:pt idx="28">
                  <c:v>92.48</c:v>
                </c:pt>
                <c:pt idx="29">
                  <c:v>89.79</c:v>
                </c:pt>
                <c:pt idx="30">
                  <c:v>87.18</c:v>
                </c:pt>
                <c:pt idx="31">
                  <c:v>93.78</c:v>
                </c:pt>
                <c:pt idx="32">
                  <c:v>89.47</c:v>
                </c:pt>
                <c:pt idx="33">
                  <c:v>89.39</c:v>
                </c:pt>
                <c:pt idx="34">
                  <c:v>91.27</c:v>
                </c:pt>
                <c:pt idx="35">
                  <c:v>91.27</c:v>
                </c:pt>
                <c:pt idx="36">
                  <c:v>88.52</c:v>
                </c:pt>
                <c:pt idx="37">
                  <c:v>89.71</c:v>
                </c:pt>
                <c:pt idx="38">
                  <c:v>92.33</c:v>
                </c:pt>
                <c:pt idx="39">
                  <c:v>92.38</c:v>
                </c:pt>
                <c:pt idx="40">
                  <c:v>90.23</c:v>
                </c:pt>
                <c:pt idx="41">
                  <c:v>90.77</c:v>
                </c:pt>
                <c:pt idx="42">
                  <c:v>92.88</c:v>
                </c:pt>
                <c:pt idx="43">
                  <c:v>91.86</c:v>
                </c:pt>
                <c:pt idx="44">
                  <c:v>93.58</c:v>
                </c:pt>
                <c:pt idx="45">
                  <c:v>93.08</c:v>
                </c:pt>
                <c:pt idx="46">
                  <c:v>94.17</c:v>
                </c:pt>
                <c:pt idx="47">
                  <c:v>96.07</c:v>
                </c:pt>
                <c:pt idx="48">
                  <c:v>96.44</c:v>
                </c:pt>
                <c:pt idx="49">
                  <c:v>96.11</c:v>
                </c:pt>
                <c:pt idx="50">
                  <c:v>95</c:v>
                </c:pt>
                <c:pt idx="51">
                  <c:v>95.35</c:v>
                </c:pt>
                <c:pt idx="52">
                  <c:v>93.12</c:v>
                </c:pt>
                <c:pt idx="53">
                  <c:v>92.31</c:v>
                </c:pt>
                <c:pt idx="54">
                  <c:v>94.26</c:v>
                </c:pt>
                <c:pt idx="55">
                  <c:v>95.82</c:v>
                </c:pt>
                <c:pt idx="56">
                  <c:v>93.52</c:v>
                </c:pt>
                <c:pt idx="57">
                  <c:v>95</c:v>
                </c:pt>
                <c:pt idx="58">
                  <c:v>93.51</c:v>
                </c:pt>
                <c:pt idx="59">
                  <c:v>94.07</c:v>
                </c:pt>
                <c:pt idx="60">
                  <c:v>95.16</c:v>
                </c:pt>
                <c:pt idx="61">
                  <c:v>96.22</c:v>
                </c:pt>
                <c:pt idx="62">
                  <c:v>95.81</c:v>
                </c:pt>
                <c:pt idx="63">
                  <c:v>96.94</c:v>
                </c:pt>
                <c:pt idx="64">
                  <c:v>97.91</c:v>
                </c:pt>
                <c:pt idx="65">
                  <c:v>97.7</c:v>
                </c:pt>
                <c:pt idx="66">
                  <c:v>98.03</c:v>
                </c:pt>
                <c:pt idx="67">
                  <c:v>97.32</c:v>
                </c:pt>
                <c:pt idx="68">
                  <c:v>97.15</c:v>
                </c:pt>
                <c:pt idx="69">
                  <c:v>96.18</c:v>
                </c:pt>
                <c:pt idx="70">
                  <c:v>96.36</c:v>
                </c:pt>
                <c:pt idx="71">
                  <c:v>97.6</c:v>
                </c:pt>
                <c:pt idx="72">
                  <c:v>97.5</c:v>
                </c:pt>
                <c:pt idx="73">
                  <c:v>98.66</c:v>
                </c:pt>
                <c:pt idx="74">
                  <c:v>98.31</c:v>
                </c:pt>
                <c:pt idx="75">
                  <c:v>98.36</c:v>
                </c:pt>
                <c:pt idx="76">
                  <c:v>98.36</c:v>
                </c:pt>
                <c:pt idx="77">
                  <c:v>98.01</c:v>
                </c:pt>
                <c:pt idx="78">
                  <c:v>98.95</c:v>
                </c:pt>
                <c:pt idx="79">
                  <c:v>98.84</c:v>
                </c:pt>
                <c:pt idx="80">
                  <c:v>100.79</c:v>
                </c:pt>
                <c:pt idx="81">
                  <c:v>101.67</c:v>
                </c:pt>
                <c:pt idx="82">
                  <c:v>102.19</c:v>
                </c:pt>
                <c:pt idx="83">
                  <c:v>102.49</c:v>
                </c:pt>
                <c:pt idx="84">
                  <c:v>100.88</c:v>
                </c:pt>
                <c:pt idx="85">
                  <c:v>101.63</c:v>
                </c:pt>
                <c:pt idx="86">
                  <c:v>101.05</c:v>
                </c:pt>
                <c:pt idx="87">
                  <c:v>101.31</c:v>
                </c:pt>
                <c:pt idx="88">
                  <c:v>100.85</c:v>
                </c:pt>
                <c:pt idx="89">
                  <c:v>101.42</c:v>
                </c:pt>
                <c:pt idx="90">
                  <c:v>100.13</c:v>
                </c:pt>
                <c:pt idx="91">
                  <c:v>100.86</c:v>
                </c:pt>
                <c:pt idx="92">
                  <c:v>100.86</c:v>
                </c:pt>
                <c:pt idx="93">
                  <c:v>101.87</c:v>
                </c:pt>
                <c:pt idx="94">
                  <c:v>101.14</c:v>
                </c:pt>
                <c:pt idx="95">
                  <c:v>100.41</c:v>
                </c:pt>
                <c:pt idx="96">
                  <c:v>98.39</c:v>
                </c:pt>
                <c:pt idx="97">
                  <c:v>99.08</c:v>
                </c:pt>
                <c:pt idx="98">
                  <c:v>97.54</c:v>
                </c:pt>
                <c:pt idx="99">
                  <c:v>98.63</c:v>
                </c:pt>
                <c:pt idx="100">
                  <c:v>98.61</c:v>
                </c:pt>
                <c:pt idx="101">
                  <c:v>100.01</c:v>
                </c:pt>
                <c:pt idx="102">
                  <c:v>99.05</c:v>
                </c:pt>
                <c:pt idx="103">
                  <c:v>99.05</c:v>
                </c:pt>
                <c:pt idx="104">
                  <c:v>99.76</c:v>
                </c:pt>
                <c:pt idx="105">
                  <c:v>101.16</c:v>
                </c:pt>
                <c:pt idx="106">
                  <c:v>101.85</c:v>
                </c:pt>
                <c:pt idx="107">
                  <c:v>102.12</c:v>
                </c:pt>
                <c:pt idx="108">
                  <c:v>101.98</c:v>
                </c:pt>
                <c:pt idx="109">
                  <c:v>104.19</c:v>
                </c:pt>
                <c:pt idx="110">
                  <c:v>105.43</c:v>
                </c:pt>
                <c:pt idx="111">
                  <c:v>104.91</c:v>
                </c:pt>
                <c:pt idx="112">
                  <c:v>105.95</c:v>
                </c:pt>
                <c:pt idx="113">
                  <c:v>105.12</c:v>
                </c:pt>
                <c:pt idx="114">
                  <c:v>104.4</c:v>
                </c:pt>
                <c:pt idx="115">
                  <c:v>106.27</c:v>
                </c:pt>
                <c:pt idx="116">
                  <c:v>107.97</c:v>
                </c:pt>
                <c:pt idx="117">
                  <c:v>107.66</c:v>
                </c:pt>
                <c:pt idx="118">
                  <c:v>110.83</c:v>
                </c:pt>
                <c:pt idx="119">
                  <c:v>109.62</c:v>
                </c:pt>
                <c:pt idx="120">
                  <c:v>107.68</c:v>
                </c:pt>
                <c:pt idx="121">
                  <c:v>105.37</c:v>
                </c:pt>
                <c:pt idx="122">
                  <c:v>106.08</c:v>
                </c:pt>
                <c:pt idx="123">
                  <c:v>106.28</c:v>
                </c:pt>
                <c:pt idx="124">
                  <c:v>107.57</c:v>
                </c:pt>
                <c:pt idx="125">
                  <c:v>108.04</c:v>
                </c:pt>
                <c:pt idx="126">
                  <c:v>108.13</c:v>
                </c:pt>
                <c:pt idx="127">
                  <c:v>108.88</c:v>
                </c:pt>
                <c:pt idx="128">
                  <c:v>109.49</c:v>
                </c:pt>
                <c:pt idx="129">
                  <c:v>109.67</c:v>
                </c:pt>
                <c:pt idx="130">
                  <c:v>109</c:v>
                </c:pt>
                <c:pt idx="131">
                  <c:v>108.21</c:v>
                </c:pt>
                <c:pt idx="132">
                  <c:v>109.56</c:v>
                </c:pt>
                <c:pt idx="133">
                  <c:v>107.66</c:v>
                </c:pt>
                <c:pt idx="134">
                  <c:v>107.64</c:v>
                </c:pt>
                <c:pt idx="135">
                  <c:v>107.58</c:v>
                </c:pt>
                <c:pt idx="136">
                  <c:v>106.87</c:v>
                </c:pt>
                <c:pt idx="137">
                  <c:v>105.98</c:v>
                </c:pt>
                <c:pt idx="138">
                  <c:v>107.06</c:v>
                </c:pt>
                <c:pt idx="139">
                  <c:v>107.56</c:v>
                </c:pt>
                <c:pt idx="140">
                  <c:v>108.4</c:v>
                </c:pt>
                <c:pt idx="141">
                  <c:v>109.6</c:v>
                </c:pt>
                <c:pt idx="142">
                  <c:v>110.26</c:v>
                </c:pt>
                <c:pt idx="143">
                  <c:v>112.02</c:v>
                </c:pt>
                <c:pt idx="144">
                  <c:v>111.95</c:v>
                </c:pt>
                <c:pt idx="145">
                  <c:v>112.33</c:v>
                </c:pt>
                <c:pt idx="146">
                  <c:v>112.33</c:v>
                </c:pt>
                <c:pt idx="147">
                  <c:v>111.71</c:v>
                </c:pt>
                <c:pt idx="148">
                  <c:v>108.49</c:v>
                </c:pt>
                <c:pt idx="149">
                  <c:v>108.74</c:v>
                </c:pt>
                <c:pt idx="150">
                  <c:v>108.21</c:v>
                </c:pt>
                <c:pt idx="151">
                  <c:v>109.38</c:v>
                </c:pt>
                <c:pt idx="152">
                  <c:v>111.24</c:v>
                </c:pt>
                <c:pt idx="153">
                  <c:v>111.71</c:v>
                </c:pt>
                <c:pt idx="154">
                  <c:v>112.91</c:v>
                </c:pt>
                <c:pt idx="155">
                  <c:v>113.37</c:v>
                </c:pt>
                <c:pt idx="156">
                  <c:v>112.14</c:v>
                </c:pt>
                <c:pt idx="157">
                  <c:v>113.21</c:v>
                </c:pt>
                <c:pt idx="158">
                  <c:v>111.7</c:v>
                </c:pt>
                <c:pt idx="159">
                  <c:v>113.57</c:v>
                </c:pt>
                <c:pt idx="160">
                  <c:v>114.26</c:v>
                </c:pt>
                <c:pt idx="161">
                  <c:v>114.67</c:v>
                </c:pt>
                <c:pt idx="162">
                  <c:v>114.45</c:v>
                </c:pt>
                <c:pt idx="163">
                  <c:v>113.98</c:v>
                </c:pt>
                <c:pt idx="164">
                  <c:v>114.41</c:v>
                </c:pt>
                <c:pt idx="165">
                  <c:v>114.37</c:v>
                </c:pt>
                <c:pt idx="166">
                  <c:v>115.61</c:v>
                </c:pt>
                <c:pt idx="167">
                  <c:v>115.15</c:v>
                </c:pt>
                <c:pt idx="168">
                  <c:v>115.17</c:v>
                </c:pt>
                <c:pt idx="169">
                  <c:v>112.79</c:v>
                </c:pt>
                <c:pt idx="170">
                  <c:v>112.13</c:v>
                </c:pt>
                <c:pt idx="171">
                  <c:v>110.85</c:v>
                </c:pt>
                <c:pt idx="172">
                  <c:v>112.26</c:v>
                </c:pt>
                <c:pt idx="173">
                  <c:v>106.16</c:v>
                </c:pt>
                <c:pt idx="174">
                  <c:v>105.91</c:v>
                </c:pt>
                <c:pt idx="175">
                  <c:v>109.57</c:v>
                </c:pt>
                <c:pt idx="176">
                  <c:v>107.6</c:v>
                </c:pt>
                <c:pt idx="177">
                  <c:v>111</c:v>
                </c:pt>
                <c:pt idx="178">
                  <c:v>110.71</c:v>
                </c:pt>
                <c:pt idx="179">
                  <c:v>108.5</c:v>
                </c:pt>
                <c:pt idx="180">
                  <c:v>108.66</c:v>
                </c:pt>
                <c:pt idx="181">
                  <c:v>109.63</c:v>
                </c:pt>
                <c:pt idx="182">
                  <c:v>108.1</c:v>
                </c:pt>
                <c:pt idx="183">
                  <c:v>102.32</c:v>
                </c:pt>
                <c:pt idx="184">
                  <c:v>108.3</c:v>
                </c:pt>
                <c:pt idx="185">
                  <c:v>106.96</c:v>
                </c:pt>
                <c:pt idx="186">
                  <c:v>103.85</c:v>
                </c:pt>
                <c:pt idx="187">
                  <c:v>103.73</c:v>
                </c:pt>
                <c:pt idx="188">
                  <c:v>106.81</c:v>
                </c:pt>
                <c:pt idx="189">
                  <c:v>105.92</c:v>
                </c:pt>
                <c:pt idx="190">
                  <c:v>106.16</c:v>
                </c:pt>
                <c:pt idx="191">
                  <c:v>107.51</c:v>
                </c:pt>
                <c:pt idx="192">
                  <c:v>107.72</c:v>
                </c:pt>
                <c:pt idx="193">
                  <c:v>111.96</c:v>
                </c:pt>
                <c:pt idx="194">
                  <c:v>111.75</c:v>
                </c:pt>
                <c:pt idx="195">
                  <c:v>109.57</c:v>
                </c:pt>
                <c:pt idx="196">
                  <c:v>106.87</c:v>
                </c:pt>
                <c:pt idx="197">
                  <c:v>106.94</c:v>
                </c:pt>
                <c:pt idx="198">
                  <c:v>104.97</c:v>
                </c:pt>
                <c:pt idx="199">
                  <c:v>107.28</c:v>
                </c:pt>
                <c:pt idx="200">
                  <c:v>108.29</c:v>
                </c:pt>
                <c:pt idx="201">
                  <c:v>104.62</c:v>
                </c:pt>
                <c:pt idx="202">
                  <c:v>101.71</c:v>
                </c:pt>
                <c:pt idx="203">
                  <c:v>103.11</c:v>
                </c:pt>
                <c:pt idx="204">
                  <c:v>103.11</c:v>
                </c:pt>
                <c:pt idx="205">
                  <c:v>103.07</c:v>
                </c:pt>
                <c:pt idx="206">
                  <c:v>106.47</c:v>
                </c:pt>
                <c:pt idx="207">
                  <c:v>107.14</c:v>
                </c:pt>
                <c:pt idx="208">
                  <c:v>111.12</c:v>
                </c:pt>
                <c:pt idx="209">
                  <c:v>110.19</c:v>
                </c:pt>
                <c:pt idx="210">
                  <c:v>110.89</c:v>
                </c:pt>
                <c:pt idx="211">
                  <c:v>112.09</c:v>
                </c:pt>
                <c:pt idx="212">
                  <c:v>108.52</c:v>
                </c:pt>
                <c:pt idx="213">
                  <c:v>108.52</c:v>
                </c:pt>
                <c:pt idx="214">
                  <c:v>109.19</c:v>
                </c:pt>
                <c:pt idx="215">
                  <c:v>104.82</c:v>
                </c:pt>
                <c:pt idx="216">
                  <c:v>107.59</c:v>
                </c:pt>
                <c:pt idx="217">
                  <c:v>108.59</c:v>
                </c:pt>
                <c:pt idx="218">
                  <c:v>109.08</c:v>
                </c:pt>
                <c:pt idx="219">
                  <c:v>109.45</c:v>
                </c:pt>
                <c:pt idx="220">
                  <c:v>106.03</c:v>
                </c:pt>
                <c:pt idx="221">
                  <c:v>102.89</c:v>
                </c:pt>
                <c:pt idx="222">
                  <c:v>103.97</c:v>
                </c:pt>
                <c:pt idx="223">
                  <c:v>103.69</c:v>
                </c:pt>
                <c:pt idx="224">
                  <c:v>101.51</c:v>
                </c:pt>
                <c:pt idx="225">
                  <c:v>98.23</c:v>
                </c:pt>
                <c:pt idx="226">
                  <c:v>94.13</c:v>
                </c:pt>
                <c:pt idx="227">
                  <c:v>94.13</c:v>
                </c:pt>
                <c:pt idx="228">
                  <c:v>100.56</c:v>
                </c:pt>
                <c:pt idx="229">
                  <c:v>101.18</c:v>
                </c:pt>
                <c:pt idx="230">
                  <c:v>100.39</c:v>
                </c:pt>
                <c:pt idx="231">
                  <c:v>101.57</c:v>
                </c:pt>
                <c:pt idx="232">
                  <c:v>101.57</c:v>
                </c:pt>
                <c:pt idx="233">
                  <c:v>101.12</c:v>
                </c:pt>
                <c:pt idx="234">
                  <c:v>97.4</c:v>
                </c:pt>
                <c:pt idx="235">
                  <c:v>101.93</c:v>
                </c:pt>
                <c:pt idx="236">
                  <c:v>102.06</c:v>
                </c:pt>
                <c:pt idx="237">
                  <c:v>102.8</c:v>
                </c:pt>
                <c:pt idx="238">
                  <c:v>104.27</c:v>
                </c:pt>
                <c:pt idx="239">
                  <c:v>103.6</c:v>
                </c:pt>
                <c:pt idx="240">
                  <c:v>102.8</c:v>
                </c:pt>
                <c:pt idx="241">
                  <c:v>102.05</c:v>
                </c:pt>
                <c:pt idx="242">
                  <c:v>105.01</c:v>
                </c:pt>
                <c:pt idx="243">
                  <c:v>105.38</c:v>
                </c:pt>
                <c:pt idx="244">
                  <c:v>106.12</c:v>
                </c:pt>
                <c:pt idx="245">
                  <c:v>107.71</c:v>
                </c:pt>
                <c:pt idx="246">
                  <c:v>107.71</c:v>
                </c:pt>
                <c:pt idx="247">
                  <c:v>105.68</c:v>
                </c:pt>
                <c:pt idx="248">
                  <c:v>106.71</c:v>
                </c:pt>
                <c:pt idx="249">
                  <c:v>106.2</c:v>
                </c:pt>
                <c:pt idx="250">
                  <c:v>107.17</c:v>
                </c:pt>
                <c:pt idx="251">
                  <c:v>105.08</c:v>
                </c:pt>
                <c:pt idx="252">
                  <c:v>102.94</c:v>
                </c:pt>
                <c:pt idx="253">
                  <c:v>106.38</c:v>
                </c:pt>
                <c:pt idx="254">
                  <c:v>104.43</c:v>
                </c:pt>
                <c:pt idx="255">
                  <c:v>102.78</c:v>
                </c:pt>
                <c:pt idx="256">
                  <c:v>105.74</c:v>
                </c:pt>
                <c:pt idx="257">
                  <c:v>107.22</c:v>
                </c:pt>
                <c:pt idx="258">
                  <c:v>106.03</c:v>
                </c:pt>
                <c:pt idx="259">
                  <c:v>105.27</c:v>
                </c:pt>
                <c:pt idx="260">
                  <c:v>105.67</c:v>
                </c:pt>
                <c:pt idx="261">
                  <c:v>105.25</c:v>
                </c:pt>
                <c:pt idx="262">
                  <c:v>106.89</c:v>
                </c:pt>
                <c:pt idx="263">
                  <c:v>106.81</c:v>
                </c:pt>
                <c:pt idx="264">
                  <c:v>106.9</c:v>
                </c:pt>
                <c:pt idx="265">
                  <c:v>108.22</c:v>
                </c:pt>
                <c:pt idx="266">
                  <c:v>108.22</c:v>
                </c:pt>
                <c:pt idx="267">
                  <c:v>108.17</c:v>
                </c:pt>
                <c:pt idx="268">
                  <c:v>107.15</c:v>
                </c:pt>
                <c:pt idx="269">
                  <c:v>109.41</c:v>
                </c:pt>
                <c:pt idx="270">
                  <c:v>110.97</c:v>
                </c:pt>
                <c:pt idx="271">
                  <c:v>111.59</c:v>
                </c:pt>
                <c:pt idx="272">
                  <c:v>112.36</c:v>
                </c:pt>
                <c:pt idx="273">
                  <c:v>112.17</c:v>
                </c:pt>
                <c:pt idx="274">
                  <c:v>112.03</c:v>
                </c:pt>
                <c:pt idx="275">
                  <c:v>112.53</c:v>
                </c:pt>
                <c:pt idx="276">
                  <c:v>112.26</c:v>
                </c:pt>
                <c:pt idx="277">
                  <c:v>111.7</c:v>
                </c:pt>
                <c:pt idx="278">
                  <c:v>111.75</c:v>
                </c:pt>
                <c:pt idx="279">
                  <c:v>110.39</c:v>
                </c:pt>
                <c:pt idx="280">
                  <c:v>110.51</c:v>
                </c:pt>
                <c:pt idx="281">
                  <c:v>112.83</c:v>
                </c:pt>
                <c:pt idx="282">
                  <c:v>113.62</c:v>
                </c:pt>
                <c:pt idx="283">
                  <c:v>114.5</c:v>
                </c:pt>
                <c:pt idx="284">
                  <c:v>114.59</c:v>
                </c:pt>
                <c:pt idx="285">
                  <c:v>115.91</c:v>
                </c:pt>
                <c:pt idx="286">
                  <c:v>117.57</c:v>
                </c:pt>
                <c:pt idx="287">
                  <c:v>117.65</c:v>
                </c:pt>
                <c:pt idx="288">
                  <c:v>117.52</c:v>
                </c:pt>
                <c:pt idx="289">
                  <c:v>120.22</c:v>
                </c:pt>
                <c:pt idx="290">
                  <c:v>117.05</c:v>
                </c:pt>
                <c:pt idx="291">
                  <c:v>117.66</c:v>
                </c:pt>
                <c:pt idx="292">
                  <c:v>117.91</c:v>
                </c:pt>
                <c:pt idx="293">
                  <c:v>116.77</c:v>
                </c:pt>
                <c:pt idx="294">
                  <c:v>116.93</c:v>
                </c:pt>
                <c:pt idx="295">
                  <c:v>117.94</c:v>
                </c:pt>
                <c:pt idx="296">
                  <c:v>119.02</c:v>
                </c:pt>
                <c:pt idx="297">
                  <c:v>119.19</c:v>
                </c:pt>
                <c:pt idx="298">
                  <c:v>119.97</c:v>
                </c:pt>
                <c:pt idx="299">
                  <c:v>119.36</c:v>
                </c:pt>
                <c:pt idx="300">
                  <c:v>119.89</c:v>
                </c:pt>
                <c:pt idx="301">
                  <c:v>119.93</c:v>
                </c:pt>
                <c:pt idx="302">
                  <c:v>119.28</c:v>
                </c:pt>
                <c:pt idx="303">
                  <c:v>120.19</c:v>
                </c:pt>
                <c:pt idx="304">
                  <c:v>120.33</c:v>
                </c:pt>
                <c:pt idx="305">
                  <c:v>120.95</c:v>
                </c:pt>
                <c:pt idx="306">
                  <c:v>121.05</c:v>
                </c:pt>
                <c:pt idx="307">
                  <c:v>120.77</c:v>
                </c:pt>
                <c:pt idx="308">
                  <c:v>121.77</c:v>
                </c:pt>
                <c:pt idx="309">
                  <c:v>123.37</c:v>
                </c:pt>
                <c:pt idx="310">
                  <c:v>123.37</c:v>
                </c:pt>
                <c:pt idx="311">
                  <c:v>123.76</c:v>
                </c:pt>
                <c:pt idx="312">
                  <c:v>125.44</c:v>
                </c:pt>
                <c:pt idx="313">
                  <c:v>125.01</c:v>
                </c:pt>
                <c:pt idx="314">
                  <c:v>129.15</c:v>
                </c:pt>
                <c:pt idx="315">
                  <c:v>129.88999999999999</c:v>
                </c:pt>
                <c:pt idx="316">
                  <c:v>129.77000000000001</c:v>
                </c:pt>
                <c:pt idx="317">
                  <c:v>130.6</c:v>
                </c:pt>
                <c:pt idx="318">
                  <c:v>127.88</c:v>
                </c:pt>
                <c:pt idx="319">
                  <c:v>126.21</c:v>
                </c:pt>
                <c:pt idx="320">
                  <c:v>128.9</c:v>
                </c:pt>
                <c:pt idx="321">
                  <c:v>128.15</c:v>
                </c:pt>
                <c:pt idx="322">
                  <c:v>125.52</c:v>
                </c:pt>
                <c:pt idx="323">
                  <c:v>125.51</c:v>
                </c:pt>
                <c:pt idx="324">
                  <c:v>125.5</c:v>
                </c:pt>
                <c:pt idx="325">
                  <c:v>127.13</c:v>
                </c:pt>
                <c:pt idx="326">
                  <c:v>123.35</c:v>
                </c:pt>
                <c:pt idx="327">
                  <c:v>124.73</c:v>
                </c:pt>
                <c:pt idx="328">
                  <c:v>126.02</c:v>
                </c:pt>
                <c:pt idx="329">
                  <c:v>128.93</c:v>
                </c:pt>
                <c:pt idx="330">
                  <c:v>128.07</c:v>
                </c:pt>
                <c:pt idx="331">
                  <c:v>126.22</c:v>
                </c:pt>
                <c:pt idx="332">
                  <c:v>126.9</c:v>
                </c:pt>
                <c:pt idx="333">
                  <c:v>127.67</c:v>
                </c:pt>
                <c:pt idx="334">
                  <c:v>126.18</c:v>
                </c:pt>
                <c:pt idx="335">
                  <c:v>126.24</c:v>
                </c:pt>
                <c:pt idx="336">
                  <c:v>126.24</c:v>
                </c:pt>
                <c:pt idx="337">
                  <c:v>126.16</c:v>
                </c:pt>
                <c:pt idx="338">
                  <c:v>124.94</c:v>
                </c:pt>
                <c:pt idx="339">
                  <c:v>125.73</c:v>
                </c:pt>
                <c:pt idx="340">
                  <c:v>123.68</c:v>
                </c:pt>
                <c:pt idx="341">
                  <c:v>119.84</c:v>
                </c:pt>
                <c:pt idx="342">
                  <c:v>123.16</c:v>
                </c:pt>
                <c:pt idx="343">
                  <c:v>125.83</c:v>
                </c:pt>
                <c:pt idx="344">
                  <c:v>127.82</c:v>
                </c:pt>
                <c:pt idx="345">
                  <c:v>131.4</c:v>
                </c:pt>
                <c:pt idx="346">
                  <c:v>132.6</c:v>
                </c:pt>
                <c:pt idx="347">
                  <c:v>132.1</c:v>
                </c:pt>
                <c:pt idx="348">
                  <c:v>131.49</c:v>
                </c:pt>
                <c:pt idx="349">
                  <c:v>132.32</c:v>
                </c:pt>
                <c:pt idx="350">
                  <c:v>132.44999999999999</c:v>
                </c:pt>
                <c:pt idx="351">
                  <c:v>132.85</c:v>
                </c:pt>
                <c:pt idx="352">
                  <c:v>135.16</c:v>
                </c:pt>
                <c:pt idx="353">
                  <c:v>135.69</c:v>
                </c:pt>
                <c:pt idx="354">
                  <c:v>136.94999999999999</c:v>
                </c:pt>
                <c:pt idx="355">
                  <c:v>136.97</c:v>
                </c:pt>
                <c:pt idx="356">
                  <c:v>137.78</c:v>
                </c:pt>
                <c:pt idx="357">
                  <c:v>133.43</c:v>
                </c:pt>
                <c:pt idx="358">
                  <c:v>133.93</c:v>
                </c:pt>
                <c:pt idx="359">
                  <c:v>134.15</c:v>
                </c:pt>
                <c:pt idx="360">
                  <c:v>133.96</c:v>
                </c:pt>
                <c:pt idx="361">
                  <c:v>135.68</c:v>
                </c:pt>
                <c:pt idx="362">
                  <c:v>136.58000000000001</c:v>
                </c:pt>
                <c:pt idx="363">
                  <c:v>137.46</c:v>
                </c:pt>
                <c:pt idx="364">
                  <c:v>137.46</c:v>
                </c:pt>
                <c:pt idx="365">
                  <c:v>137.06</c:v>
                </c:pt>
                <c:pt idx="366">
                  <c:v>136.96</c:v>
                </c:pt>
                <c:pt idx="367">
                  <c:v>136.46</c:v>
                </c:pt>
                <c:pt idx="368">
                  <c:v>137.85</c:v>
                </c:pt>
                <c:pt idx="369">
                  <c:v>138.4</c:v>
                </c:pt>
                <c:pt idx="370">
                  <c:v>138.9</c:v>
                </c:pt>
                <c:pt idx="371">
                  <c:v>138.9</c:v>
                </c:pt>
                <c:pt idx="372">
                  <c:v>137.08000000000001</c:v>
                </c:pt>
                <c:pt idx="373">
                  <c:v>136.27000000000001</c:v>
                </c:pt>
                <c:pt idx="374">
                  <c:v>136.41999999999999</c:v>
                </c:pt>
                <c:pt idx="375">
                  <c:v>136.62</c:v>
                </c:pt>
                <c:pt idx="376">
                  <c:v>138.43</c:v>
                </c:pt>
                <c:pt idx="377">
                  <c:v>139.29</c:v>
                </c:pt>
                <c:pt idx="378">
                  <c:v>140.72</c:v>
                </c:pt>
                <c:pt idx="379">
                  <c:v>140.19</c:v>
                </c:pt>
                <c:pt idx="380">
                  <c:v>141.34</c:v>
                </c:pt>
                <c:pt idx="381">
                  <c:v>141.03</c:v>
                </c:pt>
                <c:pt idx="382">
                  <c:v>140.35</c:v>
                </c:pt>
                <c:pt idx="383">
                  <c:v>136.27000000000001</c:v>
                </c:pt>
                <c:pt idx="384">
                  <c:v>138.06</c:v>
                </c:pt>
                <c:pt idx="385">
                  <c:v>136.9</c:v>
                </c:pt>
                <c:pt idx="386">
                  <c:v>132.21</c:v>
                </c:pt>
                <c:pt idx="387">
                  <c:v>134.69</c:v>
                </c:pt>
                <c:pt idx="388">
                  <c:v>135.28</c:v>
                </c:pt>
                <c:pt idx="389">
                  <c:v>138.88999999999999</c:v>
                </c:pt>
                <c:pt idx="390">
                  <c:v>137.71</c:v>
                </c:pt>
                <c:pt idx="391">
                  <c:v>135.79</c:v>
                </c:pt>
                <c:pt idx="392">
                  <c:v>138.6</c:v>
                </c:pt>
                <c:pt idx="393">
                  <c:v>133.97999999999999</c:v>
                </c:pt>
                <c:pt idx="394">
                  <c:v>133.68</c:v>
                </c:pt>
                <c:pt idx="395">
                  <c:v>136.13</c:v>
                </c:pt>
                <c:pt idx="396">
                  <c:v>138.41</c:v>
                </c:pt>
                <c:pt idx="397">
                  <c:v>137.26</c:v>
                </c:pt>
                <c:pt idx="398">
                  <c:v>138.79</c:v>
                </c:pt>
                <c:pt idx="399">
                  <c:v>137.78</c:v>
                </c:pt>
                <c:pt idx="400">
                  <c:v>133.38999999999999</c:v>
                </c:pt>
                <c:pt idx="401">
                  <c:v>135.44999999999999</c:v>
                </c:pt>
                <c:pt idx="402">
                  <c:v>135.74</c:v>
                </c:pt>
                <c:pt idx="403">
                  <c:v>135.56</c:v>
                </c:pt>
                <c:pt idx="404">
                  <c:v>138.12</c:v>
                </c:pt>
                <c:pt idx="405">
                  <c:v>137.86000000000001</c:v>
                </c:pt>
                <c:pt idx="406">
                  <c:v>137.86000000000001</c:v>
                </c:pt>
                <c:pt idx="407">
                  <c:v>136.04</c:v>
                </c:pt>
                <c:pt idx="408">
                  <c:v>137.63</c:v>
                </c:pt>
                <c:pt idx="409">
                  <c:v>140.05000000000001</c:v>
                </c:pt>
                <c:pt idx="410">
                  <c:v>139.1</c:v>
                </c:pt>
                <c:pt idx="411">
                  <c:v>137.52000000000001</c:v>
                </c:pt>
                <c:pt idx="412">
                  <c:v>136.08000000000001</c:v>
                </c:pt>
                <c:pt idx="413">
                  <c:v>136.12</c:v>
                </c:pt>
                <c:pt idx="414">
                  <c:v>137.52000000000001</c:v>
                </c:pt>
                <c:pt idx="415">
                  <c:v>137.32</c:v>
                </c:pt>
                <c:pt idx="416">
                  <c:v>136.33000000000001</c:v>
                </c:pt>
                <c:pt idx="417">
                  <c:v>137.38999999999999</c:v>
                </c:pt>
                <c:pt idx="418">
                  <c:v>138.52000000000001</c:v>
                </c:pt>
                <c:pt idx="419">
                  <c:v>141.07</c:v>
                </c:pt>
                <c:pt idx="420">
                  <c:v>139.44</c:v>
                </c:pt>
                <c:pt idx="421">
                  <c:v>139.13999999999999</c:v>
                </c:pt>
                <c:pt idx="422">
                  <c:v>137.38</c:v>
                </c:pt>
                <c:pt idx="423">
                  <c:v>139.36000000000001</c:v>
                </c:pt>
                <c:pt idx="424">
                  <c:v>139.54</c:v>
                </c:pt>
                <c:pt idx="425">
                  <c:v>137.72999999999999</c:v>
                </c:pt>
                <c:pt idx="426">
                  <c:v>139.03</c:v>
                </c:pt>
                <c:pt idx="427">
                  <c:v>137.07</c:v>
                </c:pt>
                <c:pt idx="428">
                  <c:v>134.65</c:v>
                </c:pt>
                <c:pt idx="429">
                  <c:v>136.28</c:v>
                </c:pt>
                <c:pt idx="430">
                  <c:v>138.12</c:v>
                </c:pt>
                <c:pt idx="431">
                  <c:v>137.12</c:v>
                </c:pt>
                <c:pt idx="432">
                  <c:v>135.66999999999999</c:v>
                </c:pt>
                <c:pt idx="433">
                  <c:v>138.24</c:v>
                </c:pt>
                <c:pt idx="434">
                  <c:v>139.1</c:v>
                </c:pt>
                <c:pt idx="435">
                  <c:v>139.68</c:v>
                </c:pt>
                <c:pt idx="436">
                  <c:v>139.55000000000001</c:v>
                </c:pt>
                <c:pt idx="437">
                  <c:v>141.57499999999999</c:v>
                </c:pt>
                <c:pt idx="438">
                  <c:v>140.41</c:v>
                </c:pt>
                <c:pt idx="439">
                  <c:v>139.69</c:v>
                </c:pt>
                <c:pt idx="440">
                  <c:v>137.41</c:v>
                </c:pt>
                <c:pt idx="441">
                  <c:v>138.43</c:v>
                </c:pt>
                <c:pt idx="442">
                  <c:v>136.37</c:v>
                </c:pt>
                <c:pt idx="443">
                  <c:v>137.24</c:v>
                </c:pt>
                <c:pt idx="444">
                  <c:v>139.94</c:v>
                </c:pt>
                <c:pt idx="445">
                  <c:v>140.72999999999999</c:v>
                </c:pt>
                <c:pt idx="446">
                  <c:v>144.19</c:v>
                </c:pt>
                <c:pt idx="447">
                  <c:v>142.83000000000001</c:v>
                </c:pt>
                <c:pt idx="448">
                  <c:v>144.61000000000001</c:v>
                </c:pt>
                <c:pt idx="449">
                  <c:v>143.37</c:v>
                </c:pt>
                <c:pt idx="450">
                  <c:v>143.72</c:v>
                </c:pt>
                <c:pt idx="451">
                  <c:v>144.55000000000001</c:v>
                </c:pt>
                <c:pt idx="452">
                  <c:v>144.46</c:v>
                </c:pt>
                <c:pt idx="453">
                  <c:v>144.06</c:v>
                </c:pt>
                <c:pt idx="454">
                  <c:v>144.26</c:v>
                </c:pt>
                <c:pt idx="455">
                  <c:v>145.96</c:v>
                </c:pt>
                <c:pt idx="456">
                  <c:v>146.11000000000001</c:v>
                </c:pt>
                <c:pt idx="457">
                  <c:v>147.07</c:v>
                </c:pt>
                <c:pt idx="458">
                  <c:v>147.31</c:v>
                </c:pt>
                <c:pt idx="459">
                  <c:v>148.06</c:v>
                </c:pt>
                <c:pt idx="460">
                  <c:v>149.97</c:v>
                </c:pt>
                <c:pt idx="461">
                  <c:v>150.34</c:v>
                </c:pt>
                <c:pt idx="462">
                  <c:v>150.38999999999999</c:v>
                </c:pt>
                <c:pt idx="463">
                  <c:v>149.62</c:v>
                </c:pt>
                <c:pt idx="464">
                  <c:v>149.47999999999999</c:v>
                </c:pt>
                <c:pt idx="465">
                  <c:v>149.59</c:v>
                </c:pt>
                <c:pt idx="466">
                  <c:v>151.22999999999999</c:v>
                </c:pt>
                <c:pt idx="467">
                  <c:v>152.03</c:v>
                </c:pt>
                <c:pt idx="468">
                  <c:v>152.32</c:v>
                </c:pt>
                <c:pt idx="469">
                  <c:v>152.32</c:v>
                </c:pt>
                <c:pt idx="470">
                  <c:v>151.38</c:v>
                </c:pt>
                <c:pt idx="471">
                  <c:v>149.55000000000001</c:v>
                </c:pt>
                <c:pt idx="472">
                  <c:v>149.31</c:v>
                </c:pt>
                <c:pt idx="473">
                  <c:v>149.85</c:v>
                </c:pt>
                <c:pt idx="474">
                  <c:v>149.93</c:v>
                </c:pt>
                <c:pt idx="475">
                  <c:v>151.75</c:v>
                </c:pt>
                <c:pt idx="476">
                  <c:v>151.36000000000001</c:v>
                </c:pt>
                <c:pt idx="477">
                  <c:v>151.13</c:v>
                </c:pt>
                <c:pt idx="478">
                  <c:v>151.69999999999999</c:v>
                </c:pt>
                <c:pt idx="479">
                  <c:v>153.24</c:v>
                </c:pt>
                <c:pt idx="480">
                  <c:v>154.53</c:v>
                </c:pt>
                <c:pt idx="481">
                  <c:v>155.53</c:v>
                </c:pt>
                <c:pt idx="482">
                  <c:v>154.69</c:v>
                </c:pt>
                <c:pt idx="483">
                  <c:v>154.37</c:v>
                </c:pt>
                <c:pt idx="484">
                  <c:v>155.71</c:v>
                </c:pt>
                <c:pt idx="485">
                  <c:v>157.41</c:v>
                </c:pt>
                <c:pt idx="486">
                  <c:v>157.41</c:v>
                </c:pt>
                <c:pt idx="487">
                  <c:v>157.38</c:v>
                </c:pt>
                <c:pt idx="488">
                  <c:v>157.38</c:v>
                </c:pt>
                <c:pt idx="489">
                  <c:v>158.66999999999999</c:v>
                </c:pt>
                <c:pt idx="490">
                  <c:v>158.96</c:v>
                </c:pt>
                <c:pt idx="491">
                  <c:v>157.59</c:v>
                </c:pt>
                <c:pt idx="492">
                  <c:v>157.69999999999999</c:v>
                </c:pt>
                <c:pt idx="493">
                  <c:v>157.69999999999999</c:v>
                </c:pt>
                <c:pt idx="494">
                  <c:v>160.62</c:v>
                </c:pt>
                <c:pt idx="495">
                  <c:v>158.62</c:v>
                </c:pt>
                <c:pt idx="496">
                  <c:v>159.03</c:v>
                </c:pt>
                <c:pt idx="497">
                  <c:v>157.58000000000001</c:v>
                </c:pt>
                <c:pt idx="498">
                  <c:v>160.09</c:v>
                </c:pt>
                <c:pt idx="499">
                  <c:v>162.09</c:v>
                </c:pt>
                <c:pt idx="500">
                  <c:v>161.34</c:v>
                </c:pt>
                <c:pt idx="501">
                  <c:v>163.28</c:v>
                </c:pt>
                <c:pt idx="502">
                  <c:v>162.13</c:v>
                </c:pt>
                <c:pt idx="503">
                  <c:v>163.18</c:v>
                </c:pt>
                <c:pt idx="504">
                  <c:v>166.17</c:v>
                </c:pt>
                <c:pt idx="505">
                  <c:v>167.1</c:v>
                </c:pt>
                <c:pt idx="506">
                  <c:v>167.1</c:v>
                </c:pt>
                <c:pt idx="507">
                  <c:v>166.5</c:v>
                </c:pt>
                <c:pt idx="508">
                  <c:v>165.7</c:v>
                </c:pt>
                <c:pt idx="509">
                  <c:v>166.72</c:v>
                </c:pt>
                <c:pt idx="510">
                  <c:v>165.04</c:v>
                </c:pt>
                <c:pt idx="511">
                  <c:v>162.28</c:v>
                </c:pt>
                <c:pt idx="512">
                  <c:v>165.46</c:v>
                </c:pt>
                <c:pt idx="513">
                  <c:v>168.04</c:v>
                </c:pt>
                <c:pt idx="514">
                  <c:v>172.78</c:v>
                </c:pt>
                <c:pt idx="515">
                  <c:v>170.23</c:v>
                </c:pt>
                <c:pt idx="516">
                  <c:v>174.38</c:v>
                </c:pt>
                <c:pt idx="517">
                  <c:v>180.12</c:v>
                </c:pt>
                <c:pt idx="518">
                  <c:v>179.9</c:v>
                </c:pt>
                <c:pt idx="519">
                  <c:v>183.63</c:v>
                </c:pt>
                <c:pt idx="520">
                  <c:v>183.89</c:v>
                </c:pt>
                <c:pt idx="521">
                  <c:v>188.7</c:v>
                </c:pt>
                <c:pt idx="522">
                  <c:v>184.44</c:v>
                </c:pt>
                <c:pt idx="523">
                  <c:v>184.71</c:v>
                </c:pt>
                <c:pt idx="524">
                  <c:v>183.71</c:v>
                </c:pt>
                <c:pt idx="525">
                  <c:v>185.35</c:v>
                </c:pt>
                <c:pt idx="526">
                  <c:v>185.35</c:v>
                </c:pt>
                <c:pt idx="527">
                  <c:v>187.23</c:v>
                </c:pt>
                <c:pt idx="528">
                  <c:v>187.28</c:v>
                </c:pt>
                <c:pt idx="529">
                  <c:v>184.42</c:v>
                </c:pt>
                <c:pt idx="530">
                  <c:v>178.59</c:v>
                </c:pt>
                <c:pt idx="531">
                  <c:v>170.89</c:v>
                </c:pt>
                <c:pt idx="532">
                  <c:v>168.07</c:v>
                </c:pt>
                <c:pt idx="533">
                  <c:v>170.17</c:v>
                </c:pt>
                <c:pt idx="534">
                  <c:v>158.18</c:v>
                </c:pt>
                <c:pt idx="535">
                  <c:v>162.01</c:v>
                </c:pt>
                <c:pt idx="536">
                  <c:v>172.79</c:v>
                </c:pt>
                <c:pt idx="537">
                  <c:v>164.51</c:v>
                </c:pt>
                <c:pt idx="538">
                  <c:v>170.55</c:v>
                </c:pt>
                <c:pt idx="539">
                  <c:v>166.27</c:v>
                </c:pt>
                <c:pt idx="540">
                  <c:v>161.57</c:v>
                </c:pt>
                <c:pt idx="541">
                  <c:v>150.62</c:v>
                </c:pt>
                <c:pt idx="542">
                  <c:v>160.91999999999999</c:v>
                </c:pt>
                <c:pt idx="543">
                  <c:v>153.63</c:v>
                </c:pt>
                <c:pt idx="544">
                  <c:v>139.06</c:v>
                </c:pt>
                <c:pt idx="545">
                  <c:v>158.83000000000001</c:v>
                </c:pt>
                <c:pt idx="546">
                  <c:v>135.41999999999999</c:v>
                </c:pt>
                <c:pt idx="547">
                  <c:v>146.57</c:v>
                </c:pt>
                <c:pt idx="548">
                  <c:v>140.4</c:v>
                </c:pt>
                <c:pt idx="549">
                  <c:v>142.71</c:v>
                </c:pt>
                <c:pt idx="550">
                  <c:v>137.35</c:v>
                </c:pt>
                <c:pt idx="551">
                  <c:v>135.97999999999999</c:v>
                </c:pt>
                <c:pt idx="552">
                  <c:v>148.34</c:v>
                </c:pt>
                <c:pt idx="553">
                  <c:v>146.91999999999999</c:v>
                </c:pt>
                <c:pt idx="554">
                  <c:v>156.11000000000001</c:v>
                </c:pt>
                <c:pt idx="555">
                  <c:v>149.69999999999999</c:v>
                </c:pt>
                <c:pt idx="556">
                  <c:v>160.22999999999999</c:v>
                </c:pt>
                <c:pt idx="557">
                  <c:v>157.71</c:v>
                </c:pt>
                <c:pt idx="558">
                  <c:v>152.11000000000001</c:v>
                </c:pt>
                <c:pt idx="559">
                  <c:v>155.26</c:v>
                </c:pt>
                <c:pt idx="560">
                  <c:v>153.83000000000001</c:v>
                </c:pt>
                <c:pt idx="561">
                  <c:v>165.27</c:v>
                </c:pt>
                <c:pt idx="562">
                  <c:v>163.49</c:v>
                </c:pt>
                <c:pt idx="563">
                  <c:v>165.13</c:v>
                </c:pt>
                <c:pt idx="564">
                  <c:v>165.14</c:v>
                </c:pt>
                <c:pt idx="565">
                  <c:v>165.14</c:v>
                </c:pt>
                <c:pt idx="566">
                  <c:v>165.51</c:v>
                </c:pt>
                <c:pt idx="567">
                  <c:v>173.7</c:v>
                </c:pt>
                <c:pt idx="568">
                  <c:v>171.88</c:v>
                </c:pt>
                <c:pt idx="569">
                  <c:v>177.04</c:v>
                </c:pt>
                <c:pt idx="570">
                  <c:v>178.6</c:v>
                </c:pt>
                <c:pt idx="571">
                  <c:v>175.06</c:v>
                </c:pt>
                <c:pt idx="572">
                  <c:v>167.82</c:v>
                </c:pt>
                <c:pt idx="573">
                  <c:v>173.52</c:v>
                </c:pt>
                <c:pt idx="574">
                  <c:v>171.42</c:v>
                </c:pt>
                <c:pt idx="575">
                  <c:v>174.55</c:v>
                </c:pt>
                <c:pt idx="576">
                  <c:v>174.05</c:v>
                </c:pt>
                <c:pt idx="577">
                  <c:v>169.81</c:v>
                </c:pt>
                <c:pt idx="578">
                  <c:v>177.43</c:v>
                </c:pt>
                <c:pt idx="579">
                  <c:v>179.21</c:v>
                </c:pt>
                <c:pt idx="580">
                  <c:v>174.57</c:v>
                </c:pt>
                <c:pt idx="581">
                  <c:v>178.84</c:v>
                </c:pt>
                <c:pt idx="582">
                  <c:v>180.76</c:v>
                </c:pt>
                <c:pt idx="583">
                  <c:v>182.54</c:v>
                </c:pt>
                <c:pt idx="584">
                  <c:v>183.6</c:v>
                </c:pt>
                <c:pt idx="585">
                  <c:v>184.68</c:v>
                </c:pt>
                <c:pt idx="586">
                  <c:v>186.74</c:v>
                </c:pt>
                <c:pt idx="587">
                  <c:v>182.51</c:v>
                </c:pt>
                <c:pt idx="588">
                  <c:v>179.75</c:v>
                </c:pt>
                <c:pt idx="589">
                  <c:v>180.53</c:v>
                </c:pt>
                <c:pt idx="590">
                  <c:v>183.16</c:v>
                </c:pt>
                <c:pt idx="591">
                  <c:v>184.91</c:v>
                </c:pt>
                <c:pt idx="592">
                  <c:v>183.63</c:v>
                </c:pt>
                <c:pt idx="593">
                  <c:v>185.66</c:v>
                </c:pt>
                <c:pt idx="594">
                  <c:v>183.43</c:v>
                </c:pt>
                <c:pt idx="595">
                  <c:v>183.51</c:v>
                </c:pt>
                <c:pt idx="596">
                  <c:v>183.51</c:v>
                </c:pt>
                <c:pt idx="597">
                  <c:v>181.57</c:v>
                </c:pt>
                <c:pt idx="598">
                  <c:v>181.81</c:v>
                </c:pt>
                <c:pt idx="599">
                  <c:v>181.4</c:v>
                </c:pt>
                <c:pt idx="600">
                  <c:v>183.25</c:v>
                </c:pt>
                <c:pt idx="601">
                  <c:v>182.83</c:v>
                </c:pt>
                <c:pt idx="602">
                  <c:v>184.91</c:v>
                </c:pt>
                <c:pt idx="603">
                  <c:v>185.36</c:v>
                </c:pt>
                <c:pt idx="604">
                  <c:v>182.92</c:v>
                </c:pt>
                <c:pt idx="605">
                  <c:v>187.2</c:v>
                </c:pt>
                <c:pt idx="606">
                  <c:v>188.36</c:v>
                </c:pt>
                <c:pt idx="607">
                  <c:v>189.8</c:v>
                </c:pt>
                <c:pt idx="608">
                  <c:v>196.84</c:v>
                </c:pt>
                <c:pt idx="609">
                  <c:v>186.27</c:v>
                </c:pt>
                <c:pt idx="610">
                  <c:v>187.74</c:v>
                </c:pt>
                <c:pt idx="611">
                  <c:v>188.94</c:v>
                </c:pt>
                <c:pt idx="612">
                  <c:v>193.57</c:v>
                </c:pt>
                <c:pt idx="613">
                  <c:v>194.24</c:v>
                </c:pt>
                <c:pt idx="614">
                  <c:v>196.32</c:v>
                </c:pt>
                <c:pt idx="615">
                  <c:v>195.15</c:v>
                </c:pt>
                <c:pt idx="616">
                  <c:v>200.57</c:v>
                </c:pt>
                <c:pt idx="617">
                  <c:v>201.91</c:v>
                </c:pt>
                <c:pt idx="618">
                  <c:v>197.84</c:v>
                </c:pt>
                <c:pt idx="619">
                  <c:v>200.34</c:v>
                </c:pt>
                <c:pt idx="620">
                  <c:v>196.33</c:v>
                </c:pt>
                <c:pt idx="621">
                  <c:v>198.44</c:v>
                </c:pt>
                <c:pt idx="622">
                  <c:v>203.51</c:v>
                </c:pt>
                <c:pt idx="623">
                  <c:v>204.7</c:v>
                </c:pt>
                <c:pt idx="624">
                  <c:v>206.26</c:v>
                </c:pt>
                <c:pt idx="625">
                  <c:v>206.26</c:v>
                </c:pt>
                <c:pt idx="626">
                  <c:v>210.7</c:v>
                </c:pt>
                <c:pt idx="627">
                  <c:v>208.25</c:v>
                </c:pt>
                <c:pt idx="628">
                  <c:v>212.83</c:v>
                </c:pt>
                <c:pt idx="629">
                  <c:v>214.32</c:v>
                </c:pt>
                <c:pt idx="630">
                  <c:v>213.67</c:v>
                </c:pt>
                <c:pt idx="631">
                  <c:v>207.07</c:v>
                </c:pt>
                <c:pt idx="632">
                  <c:v>208.35</c:v>
                </c:pt>
                <c:pt idx="633">
                  <c:v>208.04</c:v>
                </c:pt>
                <c:pt idx="634">
                  <c:v>203.92</c:v>
                </c:pt>
                <c:pt idx="635">
                  <c:v>202.88</c:v>
                </c:pt>
                <c:pt idx="636">
                  <c:v>211.6</c:v>
                </c:pt>
                <c:pt idx="637">
                  <c:v>208.75</c:v>
                </c:pt>
                <c:pt idx="638">
                  <c:v>211.75</c:v>
                </c:pt>
                <c:pt idx="639">
                  <c:v>202.54</c:v>
                </c:pt>
                <c:pt idx="640">
                  <c:v>201.3</c:v>
                </c:pt>
                <c:pt idx="641">
                  <c:v>203.85</c:v>
                </c:pt>
                <c:pt idx="642">
                  <c:v>202.02</c:v>
                </c:pt>
                <c:pt idx="643">
                  <c:v>204.06</c:v>
                </c:pt>
                <c:pt idx="644">
                  <c:v>203.9</c:v>
                </c:pt>
                <c:pt idx="645">
                  <c:v>205.01</c:v>
                </c:pt>
                <c:pt idx="646">
                  <c:v>216.54</c:v>
                </c:pt>
                <c:pt idx="647">
                  <c:v>213.29</c:v>
                </c:pt>
                <c:pt idx="648">
                  <c:v>212.94</c:v>
                </c:pt>
                <c:pt idx="649">
                  <c:v>216.35</c:v>
                </c:pt>
                <c:pt idx="650">
                  <c:v>212.48</c:v>
                </c:pt>
                <c:pt idx="651">
                  <c:v>208.25</c:v>
                </c:pt>
                <c:pt idx="652">
                  <c:v>203.38</c:v>
                </c:pt>
                <c:pt idx="653">
                  <c:v>209.19</c:v>
                </c:pt>
                <c:pt idx="654">
                  <c:v>208.7</c:v>
                </c:pt>
                <c:pt idx="655">
                  <c:v>208.9</c:v>
                </c:pt>
                <c:pt idx="656">
                  <c:v>210.28</c:v>
                </c:pt>
                <c:pt idx="657">
                  <c:v>211.49</c:v>
                </c:pt>
                <c:pt idx="658">
                  <c:v>209.7</c:v>
                </c:pt>
                <c:pt idx="659">
                  <c:v>214.58</c:v>
                </c:pt>
                <c:pt idx="660">
                  <c:v>213.02</c:v>
                </c:pt>
                <c:pt idx="661">
                  <c:v>213.69</c:v>
                </c:pt>
                <c:pt idx="662">
                  <c:v>216.47</c:v>
                </c:pt>
                <c:pt idx="663">
                  <c:v>221.15</c:v>
                </c:pt>
                <c:pt idx="664">
                  <c:v>226.58</c:v>
                </c:pt>
                <c:pt idx="665">
                  <c:v>228.91</c:v>
                </c:pt>
                <c:pt idx="666">
                  <c:v>225.53</c:v>
                </c:pt>
                <c:pt idx="667">
                  <c:v>227.27</c:v>
                </c:pt>
                <c:pt idx="668">
                  <c:v>231.65</c:v>
                </c:pt>
                <c:pt idx="669">
                  <c:v>217.3</c:v>
                </c:pt>
                <c:pt idx="670">
                  <c:v>214.25</c:v>
                </c:pt>
                <c:pt idx="671">
                  <c:v>214.25</c:v>
                </c:pt>
                <c:pt idx="672">
                  <c:v>202.66</c:v>
                </c:pt>
                <c:pt idx="673">
                  <c:v>211.29</c:v>
                </c:pt>
                <c:pt idx="674">
                  <c:v>205.37</c:v>
                </c:pt>
                <c:pt idx="675">
                  <c:v>204.03</c:v>
                </c:pt>
                <c:pt idx="676">
                  <c:v>205.41</c:v>
                </c:pt>
                <c:pt idx="677">
                  <c:v>208.78</c:v>
                </c:pt>
                <c:pt idx="678">
                  <c:v>205.05</c:v>
                </c:pt>
                <c:pt idx="679">
                  <c:v>202.91</c:v>
                </c:pt>
                <c:pt idx="680">
                  <c:v>200.39</c:v>
                </c:pt>
                <c:pt idx="681">
                  <c:v>202.54</c:v>
                </c:pt>
                <c:pt idx="682">
                  <c:v>207.42</c:v>
                </c:pt>
                <c:pt idx="683">
                  <c:v>200.59</c:v>
                </c:pt>
                <c:pt idx="684">
                  <c:v>203.19</c:v>
                </c:pt>
                <c:pt idx="685">
                  <c:v>207.82</c:v>
                </c:pt>
                <c:pt idx="686">
                  <c:v>209.44</c:v>
                </c:pt>
                <c:pt idx="687">
                  <c:v>207.26</c:v>
                </c:pt>
                <c:pt idx="688">
                  <c:v>210.33</c:v>
                </c:pt>
                <c:pt idx="689">
                  <c:v>212.46</c:v>
                </c:pt>
                <c:pt idx="690">
                  <c:v>206.19</c:v>
                </c:pt>
                <c:pt idx="691">
                  <c:v>210.38</c:v>
                </c:pt>
                <c:pt idx="692">
                  <c:v>205.91</c:v>
                </c:pt>
                <c:pt idx="693">
                  <c:v>209.83</c:v>
                </c:pt>
                <c:pt idx="694">
                  <c:v>210.58</c:v>
                </c:pt>
                <c:pt idx="695">
                  <c:v>215.81</c:v>
                </c:pt>
                <c:pt idx="696">
                  <c:v>221.4</c:v>
                </c:pt>
                <c:pt idx="697">
                  <c:v>222.86</c:v>
                </c:pt>
                <c:pt idx="698">
                  <c:v>220.86</c:v>
                </c:pt>
                <c:pt idx="699">
                  <c:v>219.66</c:v>
                </c:pt>
                <c:pt idx="700">
                  <c:v>219.66</c:v>
                </c:pt>
                <c:pt idx="701">
                  <c:v>214.22</c:v>
                </c:pt>
                <c:pt idx="702">
                  <c:v>214.65</c:v>
                </c:pt>
                <c:pt idx="703">
                  <c:v>214.8</c:v>
                </c:pt>
                <c:pt idx="704">
                  <c:v>214.89</c:v>
                </c:pt>
                <c:pt idx="705">
                  <c:v>216.23</c:v>
                </c:pt>
                <c:pt idx="706">
                  <c:v>210.08</c:v>
                </c:pt>
                <c:pt idx="707">
                  <c:v>213.25</c:v>
                </c:pt>
                <c:pt idx="708">
                  <c:v>202.68</c:v>
                </c:pt>
                <c:pt idx="709">
                  <c:v>204.72</c:v>
                </c:pt>
                <c:pt idx="710">
                  <c:v>202.47</c:v>
                </c:pt>
                <c:pt idx="711">
                  <c:v>202.33</c:v>
                </c:pt>
                <c:pt idx="712">
                  <c:v>206.43</c:v>
                </c:pt>
                <c:pt idx="713">
                  <c:v>216.39</c:v>
                </c:pt>
                <c:pt idx="714">
                  <c:v>223.29</c:v>
                </c:pt>
                <c:pt idx="715">
                  <c:v>223.72</c:v>
                </c:pt>
                <c:pt idx="716">
                  <c:v>218.39</c:v>
                </c:pt>
                <c:pt idx="717">
                  <c:v>211.01</c:v>
                </c:pt>
                <c:pt idx="718">
                  <c:v>216.55</c:v>
                </c:pt>
                <c:pt idx="719">
                  <c:v>215.44</c:v>
                </c:pt>
                <c:pt idx="720">
                  <c:v>216.51</c:v>
                </c:pt>
                <c:pt idx="721">
                  <c:v>217.23</c:v>
                </c:pt>
                <c:pt idx="722">
                  <c:v>214.46</c:v>
                </c:pt>
                <c:pt idx="723">
                  <c:v>211.08</c:v>
                </c:pt>
                <c:pt idx="724">
                  <c:v>212.42</c:v>
                </c:pt>
                <c:pt idx="725">
                  <c:v>210.39</c:v>
                </c:pt>
                <c:pt idx="726">
                  <c:v>210.11</c:v>
                </c:pt>
                <c:pt idx="727">
                  <c:v>213.86</c:v>
                </c:pt>
                <c:pt idx="728">
                  <c:v>213.87</c:v>
                </c:pt>
                <c:pt idx="729">
                  <c:v>213.87</c:v>
                </c:pt>
                <c:pt idx="730">
                  <c:v>215.23</c:v>
                </c:pt>
                <c:pt idx="731">
                  <c:v>214.07</c:v>
                </c:pt>
                <c:pt idx="732">
                  <c:v>216.21</c:v>
                </c:pt>
                <c:pt idx="733">
                  <c:v>215.37</c:v>
                </c:pt>
                <c:pt idx="734">
                  <c:v>214.24</c:v>
                </c:pt>
                <c:pt idx="735">
                  <c:v>214.36</c:v>
                </c:pt>
                <c:pt idx="736">
                  <c:v>214.29</c:v>
                </c:pt>
                <c:pt idx="737">
                  <c:v>216.01</c:v>
                </c:pt>
                <c:pt idx="738">
                  <c:v>211.8</c:v>
                </c:pt>
                <c:pt idx="739">
                  <c:v>210.52</c:v>
                </c:pt>
                <c:pt idx="740">
                  <c:v>213.26</c:v>
                </c:pt>
                <c:pt idx="741">
                  <c:v>214.2</c:v>
                </c:pt>
                <c:pt idx="742">
                  <c:v>214.13</c:v>
                </c:pt>
                <c:pt idx="743">
                  <c:v>219.28</c:v>
                </c:pt>
                <c:pt idx="744">
                  <c:v>219.42</c:v>
                </c:pt>
                <c:pt idx="745">
                  <c:v>218.59</c:v>
                </c:pt>
                <c:pt idx="746">
                  <c:v>222.59</c:v>
                </c:pt>
                <c:pt idx="747">
                  <c:v>223.94</c:v>
                </c:pt>
                <c:pt idx="748">
                  <c:v>221.02</c:v>
                </c:pt>
                <c:pt idx="749">
                  <c:v>222.75</c:v>
                </c:pt>
                <c:pt idx="750">
                  <c:v>222.75</c:v>
                </c:pt>
                <c:pt idx="751">
                  <c:v>224.96</c:v>
                </c:pt>
                <c:pt idx="752">
                  <c:v>224.15</c:v>
                </c:pt>
                <c:pt idx="753">
                  <c:v>221.68</c:v>
                </c:pt>
                <c:pt idx="754">
                  <c:v>222.42</c:v>
                </c:pt>
                <c:pt idx="755">
                  <c:v>222.42</c:v>
                </c:pt>
                <c:pt idx="756">
                  <c:v>217.69</c:v>
                </c:pt>
                <c:pt idx="757">
                  <c:v>217.9</c:v>
                </c:pt>
                <c:pt idx="758">
                  <c:v>212.25</c:v>
                </c:pt>
                <c:pt idx="759">
                  <c:v>218.29</c:v>
                </c:pt>
                <c:pt idx="760">
                  <c:v>219.62</c:v>
                </c:pt>
                <c:pt idx="761">
                  <c:v>217.49</c:v>
                </c:pt>
                <c:pt idx="762">
                  <c:v>214.93</c:v>
                </c:pt>
                <c:pt idx="763">
                  <c:v>216.34</c:v>
                </c:pt>
                <c:pt idx="764">
                  <c:v>213.02</c:v>
                </c:pt>
                <c:pt idx="765">
                  <c:v>212.65</c:v>
                </c:pt>
                <c:pt idx="766">
                  <c:v>212.65</c:v>
                </c:pt>
                <c:pt idx="767">
                  <c:v>216.44</c:v>
                </c:pt>
                <c:pt idx="768">
                  <c:v>224.34</c:v>
                </c:pt>
                <c:pt idx="769">
                  <c:v>224.97</c:v>
                </c:pt>
                <c:pt idx="770">
                  <c:v>225.95</c:v>
                </c:pt>
                <c:pt idx="771">
                  <c:v>229.53</c:v>
                </c:pt>
                <c:pt idx="772">
                  <c:v>232.33</c:v>
                </c:pt>
                <c:pt idx="773">
                  <c:v>232.9</c:v>
                </c:pt>
                <c:pt idx="774">
                  <c:v>238.93</c:v>
                </c:pt>
                <c:pt idx="775">
                  <c:v>231.96</c:v>
                </c:pt>
                <c:pt idx="776">
                  <c:v>239.65</c:v>
                </c:pt>
                <c:pt idx="777">
                  <c:v>239.51</c:v>
                </c:pt>
                <c:pt idx="778">
                  <c:v>243</c:v>
                </c:pt>
                <c:pt idx="779">
                  <c:v>242.01</c:v>
                </c:pt>
                <c:pt idx="780">
                  <c:v>242.2</c:v>
                </c:pt>
                <c:pt idx="781">
                  <c:v>242.47</c:v>
                </c:pt>
                <c:pt idx="782">
                  <c:v>243.77</c:v>
                </c:pt>
                <c:pt idx="783">
                  <c:v>242.82</c:v>
                </c:pt>
                <c:pt idx="784">
                  <c:v>244.49</c:v>
                </c:pt>
                <c:pt idx="785">
                  <c:v>244.99</c:v>
                </c:pt>
                <c:pt idx="786">
                  <c:v>244.99</c:v>
                </c:pt>
                <c:pt idx="787">
                  <c:v>243.7</c:v>
                </c:pt>
                <c:pt idx="788">
                  <c:v>244.2</c:v>
                </c:pt>
                <c:pt idx="789">
                  <c:v>243.79</c:v>
                </c:pt>
                <c:pt idx="790">
                  <c:v>240.97</c:v>
                </c:pt>
                <c:pt idx="791">
                  <c:v>234.51</c:v>
                </c:pt>
                <c:pt idx="792">
                  <c:v>233.27</c:v>
                </c:pt>
                <c:pt idx="793">
                  <c:v>234.55</c:v>
                </c:pt>
                <c:pt idx="794">
                  <c:v>228.99</c:v>
                </c:pt>
                <c:pt idx="795">
                  <c:v>232.38</c:v>
                </c:pt>
                <c:pt idx="796">
                  <c:v>236.94</c:v>
                </c:pt>
                <c:pt idx="797">
                  <c:v>233.87</c:v>
                </c:pt>
                <c:pt idx="798">
                  <c:v>227.56</c:v>
                </c:pt>
                <c:pt idx="799">
                  <c:v>226.73</c:v>
                </c:pt>
                <c:pt idx="800">
                  <c:v>231.6</c:v>
                </c:pt>
                <c:pt idx="801">
                  <c:v>227.39</c:v>
                </c:pt>
                <c:pt idx="802">
                  <c:v>233.78</c:v>
                </c:pt>
                <c:pt idx="803">
                  <c:v>232.42</c:v>
                </c:pt>
                <c:pt idx="804">
                  <c:v>237.13</c:v>
                </c:pt>
                <c:pt idx="805">
                  <c:v>235.75</c:v>
                </c:pt>
                <c:pt idx="806">
                  <c:v>234.81</c:v>
                </c:pt>
                <c:pt idx="807">
                  <c:v>237.71</c:v>
                </c:pt>
                <c:pt idx="808">
                  <c:v>237.04</c:v>
                </c:pt>
                <c:pt idx="809">
                  <c:v>230.72</c:v>
                </c:pt>
                <c:pt idx="810">
                  <c:v>230.35</c:v>
                </c:pt>
                <c:pt idx="811">
                  <c:v>235.99</c:v>
                </c:pt>
                <c:pt idx="812">
                  <c:v>237.58</c:v>
                </c:pt>
                <c:pt idx="813">
                  <c:v>235.46</c:v>
                </c:pt>
                <c:pt idx="814">
                  <c:v>232.34</c:v>
                </c:pt>
                <c:pt idx="815">
                  <c:v>236.48</c:v>
                </c:pt>
                <c:pt idx="816">
                  <c:v>235.24</c:v>
                </c:pt>
                <c:pt idx="817">
                  <c:v>231.85</c:v>
                </c:pt>
                <c:pt idx="818">
                  <c:v>235.77</c:v>
                </c:pt>
                <c:pt idx="819">
                  <c:v>242.35</c:v>
                </c:pt>
                <c:pt idx="820">
                  <c:v>242.35</c:v>
                </c:pt>
                <c:pt idx="821">
                  <c:v>249.07</c:v>
                </c:pt>
                <c:pt idx="822">
                  <c:v>247.86</c:v>
                </c:pt>
                <c:pt idx="823">
                  <c:v>249.9</c:v>
                </c:pt>
                <c:pt idx="824">
                  <c:v>253.25</c:v>
                </c:pt>
                <c:pt idx="825">
                  <c:v>255.85</c:v>
                </c:pt>
                <c:pt idx="826">
                  <c:v>255.91</c:v>
                </c:pt>
                <c:pt idx="827">
                  <c:v>258.49</c:v>
                </c:pt>
                <c:pt idx="828">
                  <c:v>255.59</c:v>
                </c:pt>
                <c:pt idx="829">
                  <c:v>259.5</c:v>
                </c:pt>
                <c:pt idx="830">
                  <c:v>260.74</c:v>
                </c:pt>
                <c:pt idx="831">
                  <c:v>258.74</c:v>
                </c:pt>
                <c:pt idx="832">
                  <c:v>258.26</c:v>
                </c:pt>
                <c:pt idx="833">
                  <c:v>260.58010000000002</c:v>
                </c:pt>
                <c:pt idx="834">
                  <c:v>257.16989999999998</c:v>
                </c:pt>
                <c:pt idx="835">
                  <c:v>261.1499</c:v>
                </c:pt>
                <c:pt idx="836">
                  <c:v>261.55</c:v>
                </c:pt>
                <c:pt idx="837">
                  <c:v>261.97000000000003</c:v>
                </c:pt>
                <c:pt idx="838">
                  <c:v>254.56</c:v>
                </c:pt>
                <c:pt idx="839">
                  <c:v>252.51</c:v>
                </c:pt>
                <c:pt idx="840">
                  <c:v>252.18</c:v>
                </c:pt>
                <c:pt idx="841">
                  <c:v>251.86</c:v>
                </c:pt>
                <c:pt idx="842">
                  <c:v>247.79</c:v>
                </c:pt>
                <c:pt idx="843">
                  <c:v>246.47</c:v>
                </c:pt>
                <c:pt idx="844">
                  <c:v>249.73</c:v>
                </c:pt>
                <c:pt idx="845">
                  <c:v>252.46</c:v>
                </c:pt>
                <c:pt idx="846">
                  <c:v>247.18</c:v>
                </c:pt>
                <c:pt idx="847">
                  <c:v>246.23</c:v>
                </c:pt>
                <c:pt idx="848">
                  <c:v>239</c:v>
                </c:pt>
                <c:pt idx="849">
                  <c:v>243.03</c:v>
                </c:pt>
                <c:pt idx="850">
                  <c:v>248.15</c:v>
                </c:pt>
                <c:pt idx="851">
                  <c:v>245.18</c:v>
                </c:pt>
                <c:pt idx="852">
                  <c:v>243.08</c:v>
                </c:pt>
                <c:pt idx="853">
                  <c:v>243.12</c:v>
                </c:pt>
                <c:pt idx="854">
                  <c:v>246.48</c:v>
                </c:pt>
                <c:pt idx="855">
                  <c:v>245.17</c:v>
                </c:pt>
                <c:pt idx="856">
                  <c:v>250.78</c:v>
                </c:pt>
                <c:pt idx="857">
                  <c:v>251.72</c:v>
                </c:pt>
                <c:pt idx="858">
                  <c:v>251.49</c:v>
                </c:pt>
                <c:pt idx="859">
                  <c:v>249.31</c:v>
                </c:pt>
                <c:pt idx="860">
                  <c:v>249.68</c:v>
                </c:pt>
                <c:pt idx="861">
                  <c:v>249.68</c:v>
                </c:pt>
                <c:pt idx="862">
                  <c:v>247.4</c:v>
                </c:pt>
                <c:pt idx="863">
                  <c:v>247.3</c:v>
                </c:pt>
                <c:pt idx="864">
                  <c:v>245.71</c:v>
                </c:pt>
                <c:pt idx="865">
                  <c:v>250.79</c:v>
                </c:pt>
                <c:pt idx="866">
                  <c:v>253.81</c:v>
                </c:pt>
                <c:pt idx="867">
                  <c:v>252.57</c:v>
                </c:pt>
                <c:pt idx="868">
                  <c:v>253.59</c:v>
                </c:pt>
                <c:pt idx="869">
                  <c:v>257.24</c:v>
                </c:pt>
                <c:pt idx="870">
                  <c:v>257.88990000000001</c:v>
                </c:pt>
                <c:pt idx="871">
                  <c:v>259.88990000000001</c:v>
                </c:pt>
                <c:pt idx="872">
                  <c:v>258.36009999999999</c:v>
                </c:pt>
                <c:pt idx="873">
                  <c:v>257.37990000000002</c:v>
                </c:pt>
                <c:pt idx="874">
                  <c:v>260.8999</c:v>
                </c:pt>
                <c:pt idx="875">
                  <c:v>259.42989999999998</c:v>
                </c:pt>
                <c:pt idx="876">
                  <c:v>262.62990000000002</c:v>
                </c:pt>
                <c:pt idx="877">
                  <c:v>265.51</c:v>
                </c:pt>
                <c:pt idx="878">
                  <c:v>265.2749</c:v>
                </c:pt>
                <c:pt idx="879">
                  <c:v>266.68990000000002</c:v>
                </c:pt>
                <c:pt idx="880">
                  <c:v>265.02</c:v>
                </c:pt>
                <c:pt idx="881">
                  <c:v>268.72000000000003</c:v>
                </c:pt>
                <c:pt idx="882">
                  <c:v>271.3999</c:v>
                </c:pt>
                <c:pt idx="883">
                  <c:v>270.8999</c:v>
                </c:pt>
                <c:pt idx="884">
                  <c:v>271.6001</c:v>
                </c:pt>
                <c:pt idx="885">
                  <c:v>277.6499</c:v>
                </c:pt>
                <c:pt idx="886">
                  <c:v>277.6499</c:v>
                </c:pt>
                <c:pt idx="887">
                  <c:v>277.65989999999999</c:v>
                </c:pt>
                <c:pt idx="888">
                  <c:v>279.92989999999998</c:v>
                </c:pt>
                <c:pt idx="889">
                  <c:v>277.41989999999998</c:v>
                </c:pt>
                <c:pt idx="890">
                  <c:v>277.93990000000002</c:v>
                </c:pt>
                <c:pt idx="891">
                  <c:v>277.32010000000002</c:v>
                </c:pt>
                <c:pt idx="892">
                  <c:v>280.98</c:v>
                </c:pt>
                <c:pt idx="893">
                  <c:v>282.51</c:v>
                </c:pt>
                <c:pt idx="894">
                  <c:v>281.02999999999997</c:v>
                </c:pt>
                <c:pt idx="895">
                  <c:v>280.75</c:v>
                </c:pt>
                <c:pt idx="896">
                  <c:v>277.01</c:v>
                </c:pt>
                <c:pt idx="897">
                  <c:v>279.32010000000002</c:v>
                </c:pt>
                <c:pt idx="898">
                  <c:v>281.3999</c:v>
                </c:pt>
                <c:pt idx="899">
                  <c:v>286.13990000000001</c:v>
                </c:pt>
                <c:pt idx="900">
                  <c:v>289.66989999999998</c:v>
                </c:pt>
                <c:pt idx="901">
                  <c:v>289.05</c:v>
                </c:pt>
                <c:pt idx="902">
                  <c:v>286.54000000000002</c:v>
                </c:pt>
                <c:pt idx="903">
                  <c:v>286.22000000000003</c:v>
                </c:pt>
                <c:pt idx="904">
                  <c:v>286.5</c:v>
                </c:pt>
                <c:pt idx="905">
                  <c:v>284.90989999999999</c:v>
                </c:pt>
                <c:pt idx="906">
                  <c:v>284.82010000000002</c:v>
                </c:pt>
                <c:pt idx="907">
                  <c:v>287.12009999999998</c:v>
                </c:pt>
                <c:pt idx="908">
                  <c:v>286.51</c:v>
                </c:pt>
                <c:pt idx="909">
                  <c:v>289.52</c:v>
                </c:pt>
                <c:pt idx="910">
                  <c:v>289.45999999999998</c:v>
                </c:pt>
                <c:pt idx="911">
                  <c:v>288.33010000000002</c:v>
                </c:pt>
                <c:pt idx="912">
                  <c:v>286.43990000000002</c:v>
                </c:pt>
                <c:pt idx="913">
                  <c:v>286.95</c:v>
                </c:pt>
                <c:pt idx="914">
                  <c:v>289.81009999999998</c:v>
                </c:pt>
                <c:pt idx="915">
                  <c:v>292.8501</c:v>
                </c:pt>
                <c:pt idx="916">
                  <c:v>294.6001</c:v>
                </c:pt>
                <c:pt idx="917">
                  <c:v>293.08010000000002</c:v>
                </c:pt>
                <c:pt idx="918">
                  <c:v>290.73</c:v>
                </c:pt>
                <c:pt idx="919">
                  <c:v>296.77</c:v>
                </c:pt>
                <c:pt idx="920">
                  <c:v>304.36009999999999</c:v>
                </c:pt>
                <c:pt idx="921">
                  <c:v>304.6499</c:v>
                </c:pt>
                <c:pt idx="922">
                  <c:v>302.62009999999998</c:v>
                </c:pt>
                <c:pt idx="923">
                  <c:v>302.01</c:v>
                </c:pt>
                <c:pt idx="924">
                  <c:v>299.09010000000001</c:v>
                </c:pt>
                <c:pt idx="925">
                  <c:v>299.72000000000003</c:v>
                </c:pt>
                <c:pt idx="926">
                  <c:v>303.59010000000001</c:v>
                </c:pt>
                <c:pt idx="927">
                  <c:v>301.87990000000002</c:v>
                </c:pt>
                <c:pt idx="928">
                  <c:v>301.83010000000002</c:v>
                </c:pt>
                <c:pt idx="929">
                  <c:v>301.1499</c:v>
                </c:pt>
                <c:pt idx="930">
                  <c:v>301.13990000000001</c:v>
                </c:pt>
                <c:pt idx="931">
                  <c:v>301.13990000000001</c:v>
                </c:pt>
                <c:pt idx="932">
                  <c:v>300.17989999999998</c:v>
                </c:pt>
                <c:pt idx="933">
                  <c:v>300.20999999999998</c:v>
                </c:pt>
                <c:pt idx="934">
                  <c:v>297.25</c:v>
                </c:pt>
                <c:pt idx="935">
                  <c:v>295.70999999999998</c:v>
                </c:pt>
                <c:pt idx="936">
                  <c:v>296.99</c:v>
                </c:pt>
                <c:pt idx="937">
                  <c:v>299.79000000000002</c:v>
                </c:pt>
                <c:pt idx="938">
                  <c:v>304.82010000000002</c:v>
                </c:pt>
                <c:pt idx="939">
                  <c:v>305.22000000000003</c:v>
                </c:pt>
                <c:pt idx="940">
                  <c:v>299.87009999999998</c:v>
                </c:pt>
                <c:pt idx="941">
                  <c:v>294.3</c:v>
                </c:pt>
                <c:pt idx="942">
                  <c:v>294.8</c:v>
                </c:pt>
                <c:pt idx="943">
                  <c:v>298.58010000000002</c:v>
                </c:pt>
                <c:pt idx="944">
                  <c:v>299.56009999999998</c:v>
                </c:pt>
                <c:pt idx="945">
                  <c:v>299.3501</c:v>
                </c:pt>
                <c:pt idx="946">
                  <c:v>294.16989999999998</c:v>
                </c:pt>
                <c:pt idx="947">
                  <c:v>283.52</c:v>
                </c:pt>
                <c:pt idx="948">
                  <c:v>284</c:v>
                </c:pt>
                <c:pt idx="949">
                  <c:v>281.91989999999998</c:v>
                </c:pt>
                <c:pt idx="950">
                  <c:v>289.1001</c:v>
                </c:pt>
                <c:pt idx="951">
                  <c:v>283.11009999999999</c:v>
                </c:pt>
                <c:pt idx="952">
                  <c:v>288.76</c:v>
                </c:pt>
                <c:pt idx="953">
                  <c:v>293.11009999999999</c:v>
                </c:pt>
                <c:pt idx="954">
                  <c:v>294.8501</c:v>
                </c:pt>
                <c:pt idx="955">
                  <c:v>294.8501</c:v>
                </c:pt>
                <c:pt idx="956">
                  <c:v>294.23</c:v>
                </c:pt>
                <c:pt idx="957">
                  <c:v>292.87990000000002</c:v>
                </c:pt>
                <c:pt idx="958">
                  <c:v>296.31009999999998</c:v>
                </c:pt>
                <c:pt idx="959">
                  <c:v>302.75</c:v>
                </c:pt>
                <c:pt idx="960">
                  <c:v>304.20999999999998</c:v>
                </c:pt>
                <c:pt idx="961">
                  <c:v>307.29000000000002</c:v>
                </c:pt>
                <c:pt idx="962">
                  <c:v>308.23</c:v>
                </c:pt>
                <c:pt idx="963">
                  <c:v>307.40989999999999</c:v>
                </c:pt>
                <c:pt idx="964">
                  <c:v>310.76</c:v>
                </c:pt>
                <c:pt idx="965">
                  <c:v>309.15989999999999</c:v>
                </c:pt>
                <c:pt idx="966">
                  <c:v>308.12990000000002</c:v>
                </c:pt>
                <c:pt idx="967">
                  <c:v>310.11009999999999</c:v>
                </c:pt>
                <c:pt idx="968">
                  <c:v>323.16989999999998</c:v>
                </c:pt>
                <c:pt idx="969">
                  <c:v>324.3501</c:v>
                </c:pt>
                <c:pt idx="970">
                  <c:v>331.62009999999998</c:v>
                </c:pt>
                <c:pt idx="971">
                  <c:v>329.37009999999998</c:v>
                </c:pt>
                <c:pt idx="972">
                  <c:v>333.12990000000002</c:v>
                </c:pt>
                <c:pt idx="973">
                  <c:v>334</c:v>
                </c:pt>
                <c:pt idx="974">
                  <c:v>336.43990000000002</c:v>
                </c:pt>
                <c:pt idx="975">
                  <c:v>336.06009999999998</c:v>
                </c:pt>
                <c:pt idx="976">
                  <c:v>336.99</c:v>
                </c:pt>
                <c:pt idx="977">
                  <c:v>335.95</c:v>
                </c:pt>
                <c:pt idx="978">
                  <c:v>330.8</c:v>
                </c:pt>
                <c:pt idx="979">
                  <c:v>332.42989999999998</c:v>
                </c:pt>
                <c:pt idx="980">
                  <c:v>336.72</c:v>
                </c:pt>
                <c:pt idx="981">
                  <c:v>336.07010000000002</c:v>
                </c:pt>
                <c:pt idx="982">
                  <c:v>339.51</c:v>
                </c:pt>
                <c:pt idx="983">
                  <c:v>339.12009999999998</c:v>
                </c:pt>
                <c:pt idx="984">
                  <c:v>341.27</c:v>
                </c:pt>
                <c:pt idx="985">
                  <c:v>343.11009999999999</c:v>
                </c:pt>
                <c:pt idx="986">
                  <c:v>339.83010000000002</c:v>
                </c:pt>
                <c:pt idx="987">
                  <c:v>337.67989999999998</c:v>
                </c:pt>
                <c:pt idx="988">
                  <c:v>337.90989999999999</c:v>
                </c:pt>
                <c:pt idx="989">
                  <c:v>337.90989999999999</c:v>
                </c:pt>
                <c:pt idx="990">
                  <c:v>329.67989999999998</c:v>
                </c:pt>
                <c:pt idx="991">
                  <c:v>336.62990000000002</c:v>
                </c:pt>
                <c:pt idx="992">
                  <c:v>330.59010000000001</c:v>
                </c:pt>
                <c:pt idx="993">
                  <c:v>330.08010000000002</c:v>
                </c:pt>
                <c:pt idx="994">
                  <c:v>329.49</c:v>
                </c:pt>
                <c:pt idx="995">
                  <c:v>323.01</c:v>
                </c:pt>
                <c:pt idx="996">
                  <c:v>326.18990000000002</c:v>
                </c:pt>
                <c:pt idx="997">
                  <c:v>334.91989999999998</c:v>
                </c:pt>
                <c:pt idx="998">
                  <c:v>334.97</c:v>
                </c:pt>
                <c:pt idx="999">
                  <c:v>333.1001</c:v>
                </c:pt>
                <c:pt idx="1000">
                  <c:v>342.54</c:v>
                </c:pt>
                <c:pt idx="1001">
                  <c:v>339.3999</c:v>
                </c:pt>
                <c:pt idx="1002">
                  <c:v>328.34010000000001</c:v>
                </c:pt>
                <c:pt idx="1003">
                  <c:v>334.6499</c:v>
                </c:pt>
                <c:pt idx="1004">
                  <c:v>324.8999</c:v>
                </c:pt>
                <c:pt idx="1005">
                  <c:v>323.8</c:v>
                </c:pt>
                <c:pt idx="1006">
                  <c:v>319.90989999999999</c:v>
                </c:pt>
                <c:pt idx="1007">
                  <c:v>327.29000000000002</c:v>
                </c:pt>
                <c:pt idx="1008">
                  <c:v>333.2</c:v>
                </c:pt>
                <c:pt idx="1009">
                  <c:v>334.68990000000002</c:v>
                </c:pt>
                <c:pt idx="1010">
                  <c:v>334.68990000000002</c:v>
                </c:pt>
                <c:pt idx="1011">
                  <c:v>342.45</c:v>
                </c:pt>
                <c:pt idx="1012">
                  <c:v>341.25</c:v>
                </c:pt>
                <c:pt idx="1013">
                  <c:v>341.95</c:v>
                </c:pt>
                <c:pt idx="1014">
                  <c:v>339.32010000000002</c:v>
                </c:pt>
                <c:pt idx="1015">
                  <c:v>336.32010000000002</c:v>
                </c:pt>
                <c:pt idx="1016">
                  <c:v>334.75</c:v>
                </c:pt>
                <c:pt idx="1017">
                  <c:v>329.01</c:v>
                </c:pt>
                <c:pt idx="1018">
                  <c:v>316.37990000000002</c:v>
                </c:pt>
                <c:pt idx="1019">
                  <c:v>313.87990000000002</c:v>
                </c:pt>
                <c:pt idx="1020">
                  <c:v>314.04000000000002</c:v>
                </c:pt>
                <c:pt idx="1021">
                  <c:v>314.27</c:v>
                </c:pt>
                <c:pt idx="1022">
                  <c:v>314.98</c:v>
                </c:pt>
                <c:pt idx="1023">
                  <c:v>318.27</c:v>
                </c:pt>
                <c:pt idx="1024">
                  <c:v>304.8</c:v>
                </c:pt>
                <c:pt idx="1025">
                  <c:v>310.2</c:v>
                </c:pt>
                <c:pt idx="1026">
                  <c:v>310.2</c:v>
                </c:pt>
                <c:pt idx="1027">
                  <c:v>302.6499</c:v>
                </c:pt>
                <c:pt idx="1028">
                  <c:v>303.33010000000002</c:v>
                </c:pt>
                <c:pt idx="1029">
                  <c:v>301.6001</c:v>
                </c:pt>
                <c:pt idx="1030">
                  <c:v>296.02999999999997</c:v>
                </c:pt>
                <c:pt idx="1031">
                  <c:v>296.37009999999998</c:v>
                </c:pt>
                <c:pt idx="1032">
                  <c:v>288.49</c:v>
                </c:pt>
                <c:pt idx="1033">
                  <c:v>296.70999999999998</c:v>
                </c:pt>
                <c:pt idx="1034">
                  <c:v>299.84010000000001</c:v>
                </c:pt>
                <c:pt idx="1035">
                  <c:v>308.26</c:v>
                </c:pt>
                <c:pt idx="1036">
                  <c:v>310.98</c:v>
                </c:pt>
                <c:pt idx="1037">
                  <c:v>308.76</c:v>
                </c:pt>
                <c:pt idx="1038">
                  <c:v>313.45999999999998</c:v>
                </c:pt>
                <c:pt idx="1039">
                  <c:v>301.25</c:v>
                </c:pt>
                <c:pt idx="1040">
                  <c:v>305.93990000000002</c:v>
                </c:pt>
                <c:pt idx="1041">
                  <c:v>300.95</c:v>
                </c:pt>
                <c:pt idx="1042">
                  <c:v>304.56009999999998</c:v>
                </c:pt>
                <c:pt idx="1043">
                  <c:v>311.20999999999998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0A-3944-BF59-6C27A93D6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8432831"/>
        <c:axId val="2036583935"/>
      </c:barChart>
      <c:catAx>
        <c:axId val="1978432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2036583935"/>
        <c:crosses val="autoZero"/>
        <c:auto val="1"/>
        <c:lblAlgn val="ctr"/>
        <c:lblOffset val="100"/>
        <c:noMultiLvlLbl val="0"/>
      </c:catAx>
      <c:valAx>
        <c:axId val="203658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97843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MSFT</a:t>
            </a:r>
            <a:r>
              <a:rPr lang="en-GB" baseline="0"/>
              <a:t> &amp; SPX Price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Prices!$E$3</c:f>
              <c:strCache>
                <c:ptCount val="1"/>
                <c:pt idx="0">
                  <c:v>SPX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Prices!$C$4:$C$1047</c:f>
              <c:numCache>
                <c:formatCode>m/d/yy</c:formatCode>
                <c:ptCount val="1044"/>
                <c:pt idx="0">
                  <c:v>43140</c:v>
                </c:pt>
                <c:pt idx="1">
                  <c:v>43143</c:v>
                </c:pt>
                <c:pt idx="2">
                  <c:v>43144</c:v>
                </c:pt>
                <c:pt idx="3">
                  <c:v>43145</c:v>
                </c:pt>
                <c:pt idx="4">
                  <c:v>43146</c:v>
                </c:pt>
                <c:pt idx="5">
                  <c:v>43147</c:v>
                </c:pt>
                <c:pt idx="6">
                  <c:v>43150</c:v>
                </c:pt>
                <c:pt idx="7">
                  <c:v>43151</c:v>
                </c:pt>
                <c:pt idx="8">
                  <c:v>43152</c:v>
                </c:pt>
                <c:pt idx="9">
                  <c:v>43153</c:v>
                </c:pt>
                <c:pt idx="10">
                  <c:v>43154</c:v>
                </c:pt>
                <c:pt idx="11">
                  <c:v>43157</c:v>
                </c:pt>
                <c:pt idx="12">
                  <c:v>43158</c:v>
                </c:pt>
                <c:pt idx="13">
                  <c:v>43159</c:v>
                </c:pt>
                <c:pt idx="14">
                  <c:v>43160</c:v>
                </c:pt>
                <c:pt idx="15">
                  <c:v>43161</c:v>
                </c:pt>
                <c:pt idx="16">
                  <c:v>43164</c:v>
                </c:pt>
                <c:pt idx="17">
                  <c:v>43165</c:v>
                </c:pt>
                <c:pt idx="18">
                  <c:v>43166</c:v>
                </c:pt>
                <c:pt idx="19">
                  <c:v>43167</c:v>
                </c:pt>
                <c:pt idx="20">
                  <c:v>43168</c:v>
                </c:pt>
                <c:pt idx="21">
                  <c:v>43171</c:v>
                </c:pt>
                <c:pt idx="22">
                  <c:v>43172</c:v>
                </c:pt>
                <c:pt idx="23">
                  <c:v>43173</c:v>
                </c:pt>
                <c:pt idx="24">
                  <c:v>43174</c:v>
                </c:pt>
                <c:pt idx="25">
                  <c:v>43175</c:v>
                </c:pt>
                <c:pt idx="26">
                  <c:v>43178</c:v>
                </c:pt>
                <c:pt idx="27">
                  <c:v>43179</c:v>
                </c:pt>
                <c:pt idx="28">
                  <c:v>43180</c:v>
                </c:pt>
                <c:pt idx="29">
                  <c:v>43181</c:v>
                </c:pt>
                <c:pt idx="30">
                  <c:v>43182</c:v>
                </c:pt>
                <c:pt idx="31">
                  <c:v>43185</c:v>
                </c:pt>
                <c:pt idx="32">
                  <c:v>43186</c:v>
                </c:pt>
                <c:pt idx="33">
                  <c:v>43187</c:v>
                </c:pt>
                <c:pt idx="34">
                  <c:v>43188</c:v>
                </c:pt>
                <c:pt idx="35">
                  <c:v>43189</c:v>
                </c:pt>
                <c:pt idx="36">
                  <c:v>43192</c:v>
                </c:pt>
                <c:pt idx="37">
                  <c:v>43193</c:v>
                </c:pt>
                <c:pt idx="38">
                  <c:v>43194</c:v>
                </c:pt>
                <c:pt idx="39">
                  <c:v>43195</c:v>
                </c:pt>
                <c:pt idx="40">
                  <c:v>43196</c:v>
                </c:pt>
                <c:pt idx="41">
                  <c:v>43199</c:v>
                </c:pt>
                <c:pt idx="42">
                  <c:v>43200</c:v>
                </c:pt>
                <c:pt idx="43">
                  <c:v>43201</c:v>
                </c:pt>
                <c:pt idx="44">
                  <c:v>43202</c:v>
                </c:pt>
                <c:pt idx="45">
                  <c:v>43203</c:v>
                </c:pt>
                <c:pt idx="46">
                  <c:v>43206</c:v>
                </c:pt>
                <c:pt idx="47">
                  <c:v>43207</c:v>
                </c:pt>
                <c:pt idx="48">
                  <c:v>43208</c:v>
                </c:pt>
                <c:pt idx="49">
                  <c:v>43209</c:v>
                </c:pt>
                <c:pt idx="50">
                  <c:v>43210</c:v>
                </c:pt>
                <c:pt idx="51">
                  <c:v>43213</c:v>
                </c:pt>
                <c:pt idx="52">
                  <c:v>43214</c:v>
                </c:pt>
                <c:pt idx="53">
                  <c:v>43215</c:v>
                </c:pt>
                <c:pt idx="54">
                  <c:v>43216</c:v>
                </c:pt>
                <c:pt idx="55">
                  <c:v>43217</c:v>
                </c:pt>
                <c:pt idx="56">
                  <c:v>43220</c:v>
                </c:pt>
                <c:pt idx="57">
                  <c:v>43221</c:v>
                </c:pt>
                <c:pt idx="58">
                  <c:v>43222</c:v>
                </c:pt>
                <c:pt idx="59">
                  <c:v>43223</c:v>
                </c:pt>
                <c:pt idx="60">
                  <c:v>43224</c:v>
                </c:pt>
                <c:pt idx="61">
                  <c:v>43227</c:v>
                </c:pt>
                <c:pt idx="62">
                  <c:v>43228</c:v>
                </c:pt>
                <c:pt idx="63">
                  <c:v>43229</c:v>
                </c:pt>
                <c:pt idx="64">
                  <c:v>43230</c:v>
                </c:pt>
                <c:pt idx="65">
                  <c:v>43231</c:v>
                </c:pt>
                <c:pt idx="66">
                  <c:v>43234</c:v>
                </c:pt>
                <c:pt idx="67">
                  <c:v>43235</c:v>
                </c:pt>
                <c:pt idx="68">
                  <c:v>43236</c:v>
                </c:pt>
                <c:pt idx="69">
                  <c:v>43237</c:v>
                </c:pt>
                <c:pt idx="70">
                  <c:v>43238</c:v>
                </c:pt>
                <c:pt idx="71">
                  <c:v>43241</c:v>
                </c:pt>
                <c:pt idx="72">
                  <c:v>43242</c:v>
                </c:pt>
                <c:pt idx="73">
                  <c:v>43243</c:v>
                </c:pt>
                <c:pt idx="74">
                  <c:v>43244</c:v>
                </c:pt>
                <c:pt idx="75">
                  <c:v>43245</c:v>
                </c:pt>
                <c:pt idx="76">
                  <c:v>43248</c:v>
                </c:pt>
                <c:pt idx="77">
                  <c:v>43249</c:v>
                </c:pt>
                <c:pt idx="78">
                  <c:v>43250</c:v>
                </c:pt>
                <c:pt idx="79">
                  <c:v>43251</c:v>
                </c:pt>
                <c:pt idx="80">
                  <c:v>43252</c:v>
                </c:pt>
                <c:pt idx="81">
                  <c:v>43255</c:v>
                </c:pt>
                <c:pt idx="82">
                  <c:v>43256</c:v>
                </c:pt>
                <c:pt idx="83">
                  <c:v>43257</c:v>
                </c:pt>
                <c:pt idx="84">
                  <c:v>43258</c:v>
                </c:pt>
                <c:pt idx="85">
                  <c:v>43259</c:v>
                </c:pt>
                <c:pt idx="86">
                  <c:v>43262</c:v>
                </c:pt>
                <c:pt idx="87">
                  <c:v>43263</c:v>
                </c:pt>
                <c:pt idx="88">
                  <c:v>43264</c:v>
                </c:pt>
                <c:pt idx="89">
                  <c:v>43265</c:v>
                </c:pt>
                <c:pt idx="90">
                  <c:v>43266</c:v>
                </c:pt>
                <c:pt idx="91">
                  <c:v>43269</c:v>
                </c:pt>
                <c:pt idx="92">
                  <c:v>43270</c:v>
                </c:pt>
                <c:pt idx="93">
                  <c:v>43271</c:v>
                </c:pt>
                <c:pt idx="94">
                  <c:v>43272</c:v>
                </c:pt>
                <c:pt idx="95">
                  <c:v>43273</c:v>
                </c:pt>
                <c:pt idx="96">
                  <c:v>43276</c:v>
                </c:pt>
                <c:pt idx="97">
                  <c:v>43277</c:v>
                </c:pt>
                <c:pt idx="98">
                  <c:v>43278</c:v>
                </c:pt>
                <c:pt idx="99">
                  <c:v>43279</c:v>
                </c:pt>
                <c:pt idx="100">
                  <c:v>43280</c:v>
                </c:pt>
                <c:pt idx="101">
                  <c:v>43283</c:v>
                </c:pt>
                <c:pt idx="102">
                  <c:v>43284</c:v>
                </c:pt>
                <c:pt idx="103">
                  <c:v>43285</c:v>
                </c:pt>
                <c:pt idx="104">
                  <c:v>43286</c:v>
                </c:pt>
                <c:pt idx="105">
                  <c:v>43287</c:v>
                </c:pt>
                <c:pt idx="106">
                  <c:v>43290</c:v>
                </c:pt>
                <c:pt idx="107">
                  <c:v>43291</c:v>
                </c:pt>
                <c:pt idx="108">
                  <c:v>43292</c:v>
                </c:pt>
                <c:pt idx="109">
                  <c:v>43293</c:v>
                </c:pt>
                <c:pt idx="110">
                  <c:v>43294</c:v>
                </c:pt>
                <c:pt idx="111">
                  <c:v>43297</c:v>
                </c:pt>
                <c:pt idx="112">
                  <c:v>43298</c:v>
                </c:pt>
                <c:pt idx="113">
                  <c:v>43299</c:v>
                </c:pt>
                <c:pt idx="114">
                  <c:v>43300</c:v>
                </c:pt>
                <c:pt idx="115">
                  <c:v>43301</c:v>
                </c:pt>
                <c:pt idx="116">
                  <c:v>43304</c:v>
                </c:pt>
                <c:pt idx="117">
                  <c:v>43305</c:v>
                </c:pt>
                <c:pt idx="118">
                  <c:v>43306</c:v>
                </c:pt>
                <c:pt idx="119">
                  <c:v>43307</c:v>
                </c:pt>
                <c:pt idx="120">
                  <c:v>43308</c:v>
                </c:pt>
                <c:pt idx="121">
                  <c:v>43311</c:v>
                </c:pt>
                <c:pt idx="122">
                  <c:v>43312</c:v>
                </c:pt>
                <c:pt idx="123">
                  <c:v>43313</c:v>
                </c:pt>
                <c:pt idx="124">
                  <c:v>43314</c:v>
                </c:pt>
                <c:pt idx="125">
                  <c:v>43315</c:v>
                </c:pt>
                <c:pt idx="126">
                  <c:v>43318</c:v>
                </c:pt>
                <c:pt idx="127">
                  <c:v>43319</c:v>
                </c:pt>
                <c:pt idx="128">
                  <c:v>43320</c:v>
                </c:pt>
                <c:pt idx="129">
                  <c:v>43321</c:v>
                </c:pt>
                <c:pt idx="130">
                  <c:v>43322</c:v>
                </c:pt>
                <c:pt idx="131">
                  <c:v>43325</c:v>
                </c:pt>
                <c:pt idx="132">
                  <c:v>43326</c:v>
                </c:pt>
                <c:pt idx="133">
                  <c:v>43327</c:v>
                </c:pt>
                <c:pt idx="134">
                  <c:v>43328</c:v>
                </c:pt>
                <c:pt idx="135">
                  <c:v>43329</c:v>
                </c:pt>
                <c:pt idx="136">
                  <c:v>43332</c:v>
                </c:pt>
                <c:pt idx="137">
                  <c:v>43333</c:v>
                </c:pt>
                <c:pt idx="138">
                  <c:v>43334</c:v>
                </c:pt>
                <c:pt idx="139">
                  <c:v>43335</c:v>
                </c:pt>
                <c:pt idx="140">
                  <c:v>43336</c:v>
                </c:pt>
                <c:pt idx="141">
                  <c:v>43339</c:v>
                </c:pt>
                <c:pt idx="142">
                  <c:v>43340</c:v>
                </c:pt>
                <c:pt idx="143">
                  <c:v>43341</c:v>
                </c:pt>
                <c:pt idx="144">
                  <c:v>43342</c:v>
                </c:pt>
                <c:pt idx="145">
                  <c:v>43343</c:v>
                </c:pt>
                <c:pt idx="146">
                  <c:v>43346</c:v>
                </c:pt>
                <c:pt idx="147">
                  <c:v>43347</c:v>
                </c:pt>
                <c:pt idx="148">
                  <c:v>43348</c:v>
                </c:pt>
                <c:pt idx="149">
                  <c:v>43349</c:v>
                </c:pt>
                <c:pt idx="150">
                  <c:v>43350</c:v>
                </c:pt>
                <c:pt idx="151">
                  <c:v>43353</c:v>
                </c:pt>
                <c:pt idx="152">
                  <c:v>43354</c:v>
                </c:pt>
                <c:pt idx="153">
                  <c:v>43355</c:v>
                </c:pt>
                <c:pt idx="154">
                  <c:v>43356</c:v>
                </c:pt>
                <c:pt idx="155">
                  <c:v>43357</c:v>
                </c:pt>
                <c:pt idx="156">
                  <c:v>43360</c:v>
                </c:pt>
                <c:pt idx="157">
                  <c:v>43361</c:v>
                </c:pt>
                <c:pt idx="158">
                  <c:v>43362</c:v>
                </c:pt>
                <c:pt idx="159">
                  <c:v>43363</c:v>
                </c:pt>
                <c:pt idx="160">
                  <c:v>43364</c:v>
                </c:pt>
                <c:pt idx="161">
                  <c:v>43367</c:v>
                </c:pt>
                <c:pt idx="162">
                  <c:v>43368</c:v>
                </c:pt>
                <c:pt idx="163">
                  <c:v>43369</c:v>
                </c:pt>
                <c:pt idx="164">
                  <c:v>43370</c:v>
                </c:pt>
                <c:pt idx="165">
                  <c:v>43371</c:v>
                </c:pt>
                <c:pt idx="166">
                  <c:v>43374</c:v>
                </c:pt>
                <c:pt idx="167">
                  <c:v>43375</c:v>
                </c:pt>
                <c:pt idx="168">
                  <c:v>43376</c:v>
                </c:pt>
                <c:pt idx="169">
                  <c:v>43377</c:v>
                </c:pt>
                <c:pt idx="170">
                  <c:v>43378</c:v>
                </c:pt>
                <c:pt idx="171">
                  <c:v>43381</c:v>
                </c:pt>
                <c:pt idx="172">
                  <c:v>43382</c:v>
                </c:pt>
                <c:pt idx="173">
                  <c:v>43383</c:v>
                </c:pt>
                <c:pt idx="174">
                  <c:v>43384</c:v>
                </c:pt>
                <c:pt idx="175">
                  <c:v>43385</c:v>
                </c:pt>
                <c:pt idx="176">
                  <c:v>43388</c:v>
                </c:pt>
                <c:pt idx="177">
                  <c:v>43389</c:v>
                </c:pt>
                <c:pt idx="178">
                  <c:v>43390</c:v>
                </c:pt>
                <c:pt idx="179">
                  <c:v>43391</c:v>
                </c:pt>
                <c:pt idx="180">
                  <c:v>43392</c:v>
                </c:pt>
                <c:pt idx="181">
                  <c:v>43395</c:v>
                </c:pt>
                <c:pt idx="182">
                  <c:v>43396</c:v>
                </c:pt>
                <c:pt idx="183">
                  <c:v>43397</c:v>
                </c:pt>
                <c:pt idx="184">
                  <c:v>43398</c:v>
                </c:pt>
                <c:pt idx="185">
                  <c:v>43399</c:v>
                </c:pt>
                <c:pt idx="186">
                  <c:v>43402</c:v>
                </c:pt>
                <c:pt idx="187">
                  <c:v>43403</c:v>
                </c:pt>
                <c:pt idx="188">
                  <c:v>43404</c:v>
                </c:pt>
                <c:pt idx="189">
                  <c:v>43405</c:v>
                </c:pt>
                <c:pt idx="190">
                  <c:v>43406</c:v>
                </c:pt>
                <c:pt idx="191">
                  <c:v>43409</c:v>
                </c:pt>
                <c:pt idx="192">
                  <c:v>43410</c:v>
                </c:pt>
                <c:pt idx="193">
                  <c:v>43411</c:v>
                </c:pt>
                <c:pt idx="194">
                  <c:v>43412</c:v>
                </c:pt>
                <c:pt idx="195">
                  <c:v>43413</c:v>
                </c:pt>
                <c:pt idx="196">
                  <c:v>43416</c:v>
                </c:pt>
                <c:pt idx="197">
                  <c:v>43417</c:v>
                </c:pt>
                <c:pt idx="198">
                  <c:v>43418</c:v>
                </c:pt>
                <c:pt idx="199">
                  <c:v>43419</c:v>
                </c:pt>
                <c:pt idx="200">
                  <c:v>43420</c:v>
                </c:pt>
                <c:pt idx="201">
                  <c:v>43423</c:v>
                </c:pt>
                <c:pt idx="202">
                  <c:v>43424</c:v>
                </c:pt>
                <c:pt idx="203">
                  <c:v>43425</c:v>
                </c:pt>
                <c:pt idx="204">
                  <c:v>43426</c:v>
                </c:pt>
                <c:pt idx="205">
                  <c:v>43427</c:v>
                </c:pt>
                <c:pt idx="206">
                  <c:v>43430</c:v>
                </c:pt>
                <c:pt idx="207">
                  <c:v>43431</c:v>
                </c:pt>
                <c:pt idx="208">
                  <c:v>43432</c:v>
                </c:pt>
                <c:pt idx="209">
                  <c:v>43433</c:v>
                </c:pt>
                <c:pt idx="210">
                  <c:v>43434</c:v>
                </c:pt>
                <c:pt idx="211">
                  <c:v>43437</c:v>
                </c:pt>
                <c:pt idx="212">
                  <c:v>43438</c:v>
                </c:pt>
                <c:pt idx="213">
                  <c:v>43439</c:v>
                </c:pt>
                <c:pt idx="214">
                  <c:v>43440</c:v>
                </c:pt>
                <c:pt idx="215">
                  <c:v>43441</c:v>
                </c:pt>
                <c:pt idx="216">
                  <c:v>43444</c:v>
                </c:pt>
                <c:pt idx="217">
                  <c:v>43445</c:v>
                </c:pt>
                <c:pt idx="218">
                  <c:v>43446</c:v>
                </c:pt>
                <c:pt idx="219">
                  <c:v>43447</c:v>
                </c:pt>
                <c:pt idx="220">
                  <c:v>43448</c:v>
                </c:pt>
                <c:pt idx="221">
                  <c:v>43451</c:v>
                </c:pt>
                <c:pt idx="222">
                  <c:v>43452</c:v>
                </c:pt>
                <c:pt idx="223">
                  <c:v>43453</c:v>
                </c:pt>
                <c:pt idx="224">
                  <c:v>43454</c:v>
                </c:pt>
                <c:pt idx="225">
                  <c:v>43455</c:v>
                </c:pt>
                <c:pt idx="226">
                  <c:v>43458</c:v>
                </c:pt>
                <c:pt idx="227">
                  <c:v>43459</c:v>
                </c:pt>
                <c:pt idx="228">
                  <c:v>43460</c:v>
                </c:pt>
                <c:pt idx="229">
                  <c:v>43461</c:v>
                </c:pt>
                <c:pt idx="230">
                  <c:v>43462</c:v>
                </c:pt>
                <c:pt idx="231">
                  <c:v>43465</c:v>
                </c:pt>
                <c:pt idx="232">
                  <c:v>43466</c:v>
                </c:pt>
                <c:pt idx="233">
                  <c:v>43467</c:v>
                </c:pt>
                <c:pt idx="234">
                  <c:v>43468</c:v>
                </c:pt>
                <c:pt idx="235">
                  <c:v>43469</c:v>
                </c:pt>
                <c:pt idx="236">
                  <c:v>43472</c:v>
                </c:pt>
                <c:pt idx="237">
                  <c:v>43473</c:v>
                </c:pt>
                <c:pt idx="238">
                  <c:v>43474</c:v>
                </c:pt>
                <c:pt idx="239">
                  <c:v>43475</c:v>
                </c:pt>
                <c:pt idx="240">
                  <c:v>43476</c:v>
                </c:pt>
                <c:pt idx="241">
                  <c:v>43479</c:v>
                </c:pt>
                <c:pt idx="242">
                  <c:v>43480</c:v>
                </c:pt>
                <c:pt idx="243">
                  <c:v>43481</c:v>
                </c:pt>
                <c:pt idx="244">
                  <c:v>43482</c:v>
                </c:pt>
                <c:pt idx="245">
                  <c:v>43483</c:v>
                </c:pt>
                <c:pt idx="246">
                  <c:v>43486</c:v>
                </c:pt>
                <c:pt idx="247">
                  <c:v>43487</c:v>
                </c:pt>
                <c:pt idx="248">
                  <c:v>43488</c:v>
                </c:pt>
                <c:pt idx="249">
                  <c:v>43489</c:v>
                </c:pt>
                <c:pt idx="250">
                  <c:v>43490</c:v>
                </c:pt>
                <c:pt idx="251">
                  <c:v>43493</c:v>
                </c:pt>
                <c:pt idx="252">
                  <c:v>43494</c:v>
                </c:pt>
                <c:pt idx="253">
                  <c:v>43495</c:v>
                </c:pt>
                <c:pt idx="254">
                  <c:v>43496</c:v>
                </c:pt>
                <c:pt idx="255">
                  <c:v>43497</c:v>
                </c:pt>
                <c:pt idx="256">
                  <c:v>43500</c:v>
                </c:pt>
                <c:pt idx="257">
                  <c:v>43501</c:v>
                </c:pt>
                <c:pt idx="258">
                  <c:v>43502</c:v>
                </c:pt>
                <c:pt idx="259">
                  <c:v>43503</c:v>
                </c:pt>
                <c:pt idx="260">
                  <c:v>43504</c:v>
                </c:pt>
                <c:pt idx="261">
                  <c:v>43507</c:v>
                </c:pt>
                <c:pt idx="262">
                  <c:v>43508</c:v>
                </c:pt>
                <c:pt idx="263">
                  <c:v>43509</c:v>
                </c:pt>
                <c:pt idx="264">
                  <c:v>43510</c:v>
                </c:pt>
                <c:pt idx="265">
                  <c:v>43511</c:v>
                </c:pt>
                <c:pt idx="266">
                  <c:v>43514</c:v>
                </c:pt>
                <c:pt idx="267">
                  <c:v>43515</c:v>
                </c:pt>
                <c:pt idx="268">
                  <c:v>43516</c:v>
                </c:pt>
                <c:pt idx="269">
                  <c:v>43517</c:v>
                </c:pt>
                <c:pt idx="270">
                  <c:v>43518</c:v>
                </c:pt>
                <c:pt idx="271">
                  <c:v>43521</c:v>
                </c:pt>
                <c:pt idx="272">
                  <c:v>43522</c:v>
                </c:pt>
                <c:pt idx="273">
                  <c:v>43523</c:v>
                </c:pt>
                <c:pt idx="274">
                  <c:v>43524</c:v>
                </c:pt>
                <c:pt idx="275">
                  <c:v>43525</c:v>
                </c:pt>
                <c:pt idx="276">
                  <c:v>43528</c:v>
                </c:pt>
                <c:pt idx="277">
                  <c:v>43529</c:v>
                </c:pt>
                <c:pt idx="278">
                  <c:v>43530</c:v>
                </c:pt>
                <c:pt idx="279">
                  <c:v>43531</c:v>
                </c:pt>
                <c:pt idx="280">
                  <c:v>43532</c:v>
                </c:pt>
                <c:pt idx="281">
                  <c:v>43535</c:v>
                </c:pt>
                <c:pt idx="282">
                  <c:v>43536</c:v>
                </c:pt>
                <c:pt idx="283">
                  <c:v>43537</c:v>
                </c:pt>
                <c:pt idx="284">
                  <c:v>43538</c:v>
                </c:pt>
                <c:pt idx="285">
                  <c:v>43539</c:v>
                </c:pt>
                <c:pt idx="286">
                  <c:v>43542</c:v>
                </c:pt>
                <c:pt idx="287">
                  <c:v>43543</c:v>
                </c:pt>
                <c:pt idx="288">
                  <c:v>43544</c:v>
                </c:pt>
                <c:pt idx="289">
                  <c:v>43545</c:v>
                </c:pt>
                <c:pt idx="290">
                  <c:v>43546</c:v>
                </c:pt>
                <c:pt idx="291">
                  <c:v>43549</c:v>
                </c:pt>
                <c:pt idx="292">
                  <c:v>43550</c:v>
                </c:pt>
                <c:pt idx="293">
                  <c:v>43551</c:v>
                </c:pt>
                <c:pt idx="294">
                  <c:v>43552</c:v>
                </c:pt>
                <c:pt idx="295">
                  <c:v>43553</c:v>
                </c:pt>
                <c:pt idx="296">
                  <c:v>43556</c:v>
                </c:pt>
                <c:pt idx="297">
                  <c:v>43557</c:v>
                </c:pt>
                <c:pt idx="298">
                  <c:v>43558</c:v>
                </c:pt>
                <c:pt idx="299">
                  <c:v>43559</c:v>
                </c:pt>
                <c:pt idx="300">
                  <c:v>43560</c:v>
                </c:pt>
                <c:pt idx="301">
                  <c:v>43563</c:v>
                </c:pt>
                <c:pt idx="302">
                  <c:v>43564</c:v>
                </c:pt>
                <c:pt idx="303">
                  <c:v>43565</c:v>
                </c:pt>
                <c:pt idx="304">
                  <c:v>43566</c:v>
                </c:pt>
                <c:pt idx="305">
                  <c:v>43567</c:v>
                </c:pt>
                <c:pt idx="306">
                  <c:v>43570</c:v>
                </c:pt>
                <c:pt idx="307">
                  <c:v>43571</c:v>
                </c:pt>
                <c:pt idx="308">
                  <c:v>43572</c:v>
                </c:pt>
                <c:pt idx="309">
                  <c:v>43573</c:v>
                </c:pt>
                <c:pt idx="310">
                  <c:v>43574</c:v>
                </c:pt>
                <c:pt idx="311">
                  <c:v>43577</c:v>
                </c:pt>
                <c:pt idx="312">
                  <c:v>43578</c:v>
                </c:pt>
                <c:pt idx="313">
                  <c:v>43579</c:v>
                </c:pt>
                <c:pt idx="314">
                  <c:v>43580</c:v>
                </c:pt>
                <c:pt idx="315">
                  <c:v>43581</c:v>
                </c:pt>
                <c:pt idx="316">
                  <c:v>43584</c:v>
                </c:pt>
                <c:pt idx="317">
                  <c:v>43585</c:v>
                </c:pt>
                <c:pt idx="318">
                  <c:v>43586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43623</c:v>
                </c:pt>
                <c:pt idx="346">
                  <c:v>43626</c:v>
                </c:pt>
                <c:pt idx="347">
                  <c:v>43627</c:v>
                </c:pt>
                <c:pt idx="348">
                  <c:v>43628</c:v>
                </c:pt>
                <c:pt idx="349">
                  <c:v>43629</c:v>
                </c:pt>
                <c:pt idx="350">
                  <c:v>43630</c:v>
                </c:pt>
                <c:pt idx="351">
                  <c:v>43633</c:v>
                </c:pt>
                <c:pt idx="352">
                  <c:v>43634</c:v>
                </c:pt>
                <c:pt idx="353">
                  <c:v>43635</c:v>
                </c:pt>
                <c:pt idx="354">
                  <c:v>43636</c:v>
                </c:pt>
                <c:pt idx="355">
                  <c:v>43637</c:v>
                </c:pt>
                <c:pt idx="356">
                  <c:v>43640</c:v>
                </c:pt>
                <c:pt idx="357">
                  <c:v>43641</c:v>
                </c:pt>
                <c:pt idx="358">
                  <c:v>43642</c:v>
                </c:pt>
                <c:pt idx="359">
                  <c:v>43643</c:v>
                </c:pt>
                <c:pt idx="360">
                  <c:v>43644</c:v>
                </c:pt>
                <c:pt idx="361">
                  <c:v>43647</c:v>
                </c:pt>
                <c:pt idx="362">
                  <c:v>43648</c:v>
                </c:pt>
                <c:pt idx="363">
                  <c:v>43649</c:v>
                </c:pt>
                <c:pt idx="364">
                  <c:v>43650</c:v>
                </c:pt>
                <c:pt idx="365">
                  <c:v>43651</c:v>
                </c:pt>
                <c:pt idx="366">
                  <c:v>43654</c:v>
                </c:pt>
                <c:pt idx="367">
                  <c:v>43655</c:v>
                </c:pt>
                <c:pt idx="368">
                  <c:v>43656</c:v>
                </c:pt>
                <c:pt idx="369">
                  <c:v>43657</c:v>
                </c:pt>
                <c:pt idx="370">
                  <c:v>43658</c:v>
                </c:pt>
                <c:pt idx="371">
                  <c:v>43661</c:v>
                </c:pt>
                <c:pt idx="372">
                  <c:v>43662</c:v>
                </c:pt>
                <c:pt idx="373">
                  <c:v>43663</c:v>
                </c:pt>
                <c:pt idx="374">
                  <c:v>43664</c:v>
                </c:pt>
                <c:pt idx="375">
                  <c:v>43665</c:v>
                </c:pt>
                <c:pt idx="376">
                  <c:v>43668</c:v>
                </c:pt>
                <c:pt idx="377">
                  <c:v>43669</c:v>
                </c:pt>
                <c:pt idx="378">
                  <c:v>43670</c:v>
                </c:pt>
                <c:pt idx="379">
                  <c:v>43671</c:v>
                </c:pt>
                <c:pt idx="380">
                  <c:v>43672</c:v>
                </c:pt>
                <c:pt idx="381">
                  <c:v>43675</c:v>
                </c:pt>
                <c:pt idx="382">
                  <c:v>43676</c:v>
                </c:pt>
                <c:pt idx="383">
                  <c:v>43677</c:v>
                </c:pt>
                <c:pt idx="384">
                  <c:v>43678</c:v>
                </c:pt>
                <c:pt idx="385">
                  <c:v>43679</c:v>
                </c:pt>
                <c:pt idx="386">
                  <c:v>43682</c:v>
                </c:pt>
                <c:pt idx="387">
                  <c:v>43683</c:v>
                </c:pt>
                <c:pt idx="388">
                  <c:v>43684</c:v>
                </c:pt>
                <c:pt idx="389">
                  <c:v>43685</c:v>
                </c:pt>
                <c:pt idx="390">
                  <c:v>43686</c:v>
                </c:pt>
                <c:pt idx="391">
                  <c:v>43689</c:v>
                </c:pt>
                <c:pt idx="392">
                  <c:v>43690</c:v>
                </c:pt>
                <c:pt idx="393">
                  <c:v>43691</c:v>
                </c:pt>
                <c:pt idx="394">
                  <c:v>43692</c:v>
                </c:pt>
                <c:pt idx="395">
                  <c:v>43693</c:v>
                </c:pt>
                <c:pt idx="396">
                  <c:v>43696</c:v>
                </c:pt>
                <c:pt idx="397">
                  <c:v>43697</c:v>
                </c:pt>
                <c:pt idx="398">
                  <c:v>43698</c:v>
                </c:pt>
                <c:pt idx="399">
                  <c:v>43699</c:v>
                </c:pt>
                <c:pt idx="400">
                  <c:v>43700</c:v>
                </c:pt>
                <c:pt idx="401">
                  <c:v>43703</c:v>
                </c:pt>
                <c:pt idx="402">
                  <c:v>43704</c:v>
                </c:pt>
                <c:pt idx="403">
                  <c:v>43705</c:v>
                </c:pt>
                <c:pt idx="404">
                  <c:v>43706</c:v>
                </c:pt>
                <c:pt idx="405">
                  <c:v>43707</c:v>
                </c:pt>
                <c:pt idx="406">
                  <c:v>43710</c:v>
                </c:pt>
                <c:pt idx="407">
                  <c:v>43711</c:v>
                </c:pt>
                <c:pt idx="408">
                  <c:v>43712</c:v>
                </c:pt>
                <c:pt idx="409">
                  <c:v>43713</c:v>
                </c:pt>
                <c:pt idx="410">
                  <c:v>43714</c:v>
                </c:pt>
                <c:pt idx="411">
                  <c:v>43717</c:v>
                </c:pt>
                <c:pt idx="412">
                  <c:v>43718</c:v>
                </c:pt>
                <c:pt idx="413">
                  <c:v>43719</c:v>
                </c:pt>
                <c:pt idx="414">
                  <c:v>43720</c:v>
                </c:pt>
                <c:pt idx="415">
                  <c:v>43721</c:v>
                </c:pt>
                <c:pt idx="416">
                  <c:v>43724</c:v>
                </c:pt>
                <c:pt idx="417">
                  <c:v>43725</c:v>
                </c:pt>
                <c:pt idx="418">
                  <c:v>43726</c:v>
                </c:pt>
                <c:pt idx="419">
                  <c:v>43727</c:v>
                </c:pt>
                <c:pt idx="420">
                  <c:v>43728</c:v>
                </c:pt>
                <c:pt idx="421">
                  <c:v>43731</c:v>
                </c:pt>
                <c:pt idx="422">
                  <c:v>43732</c:v>
                </c:pt>
                <c:pt idx="423">
                  <c:v>43733</c:v>
                </c:pt>
                <c:pt idx="424">
                  <c:v>43734</c:v>
                </c:pt>
                <c:pt idx="425">
                  <c:v>43735</c:v>
                </c:pt>
                <c:pt idx="426">
                  <c:v>43738</c:v>
                </c:pt>
                <c:pt idx="427">
                  <c:v>43739</c:v>
                </c:pt>
                <c:pt idx="428">
                  <c:v>43740</c:v>
                </c:pt>
                <c:pt idx="429">
                  <c:v>43741</c:v>
                </c:pt>
                <c:pt idx="430">
                  <c:v>43742</c:v>
                </c:pt>
                <c:pt idx="431">
                  <c:v>43745</c:v>
                </c:pt>
                <c:pt idx="432">
                  <c:v>43746</c:v>
                </c:pt>
                <c:pt idx="433">
                  <c:v>43747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43824</c:v>
                </c:pt>
                <c:pt idx="489">
                  <c:v>43825</c:v>
                </c:pt>
                <c:pt idx="490">
                  <c:v>43826</c:v>
                </c:pt>
                <c:pt idx="491">
                  <c:v>43829</c:v>
                </c:pt>
                <c:pt idx="492">
                  <c:v>43830</c:v>
                </c:pt>
                <c:pt idx="493">
                  <c:v>43831</c:v>
                </c:pt>
                <c:pt idx="494">
                  <c:v>43832</c:v>
                </c:pt>
                <c:pt idx="495">
                  <c:v>43833</c:v>
                </c:pt>
                <c:pt idx="496">
                  <c:v>43836</c:v>
                </c:pt>
                <c:pt idx="497">
                  <c:v>43837</c:v>
                </c:pt>
                <c:pt idx="498">
                  <c:v>43838</c:v>
                </c:pt>
                <c:pt idx="499">
                  <c:v>43839</c:v>
                </c:pt>
                <c:pt idx="500">
                  <c:v>43840</c:v>
                </c:pt>
                <c:pt idx="501">
                  <c:v>43843</c:v>
                </c:pt>
                <c:pt idx="502">
                  <c:v>43844</c:v>
                </c:pt>
                <c:pt idx="503">
                  <c:v>43845</c:v>
                </c:pt>
                <c:pt idx="504">
                  <c:v>43846</c:v>
                </c:pt>
                <c:pt idx="505">
                  <c:v>43847</c:v>
                </c:pt>
                <c:pt idx="506">
                  <c:v>43850</c:v>
                </c:pt>
                <c:pt idx="507">
                  <c:v>43851</c:v>
                </c:pt>
                <c:pt idx="508">
                  <c:v>43852</c:v>
                </c:pt>
                <c:pt idx="509">
                  <c:v>43853</c:v>
                </c:pt>
                <c:pt idx="510">
                  <c:v>43854</c:v>
                </c:pt>
                <c:pt idx="511">
                  <c:v>43857</c:v>
                </c:pt>
                <c:pt idx="512">
                  <c:v>43858</c:v>
                </c:pt>
                <c:pt idx="513">
                  <c:v>43859</c:v>
                </c:pt>
                <c:pt idx="514">
                  <c:v>43860</c:v>
                </c:pt>
                <c:pt idx="515">
                  <c:v>43861</c:v>
                </c:pt>
                <c:pt idx="516">
                  <c:v>43864</c:v>
                </c:pt>
                <c:pt idx="517">
                  <c:v>43865</c:v>
                </c:pt>
                <c:pt idx="518">
                  <c:v>43866</c:v>
                </c:pt>
                <c:pt idx="519">
                  <c:v>43867</c:v>
                </c:pt>
                <c:pt idx="520">
                  <c:v>43868</c:v>
                </c:pt>
                <c:pt idx="521">
                  <c:v>43871</c:v>
                </c:pt>
                <c:pt idx="522">
                  <c:v>43872</c:v>
                </c:pt>
                <c:pt idx="523">
                  <c:v>43873</c:v>
                </c:pt>
                <c:pt idx="524">
                  <c:v>43874</c:v>
                </c:pt>
                <c:pt idx="525">
                  <c:v>43875</c:v>
                </c:pt>
                <c:pt idx="526">
                  <c:v>43878</c:v>
                </c:pt>
                <c:pt idx="527">
                  <c:v>43879</c:v>
                </c:pt>
                <c:pt idx="528">
                  <c:v>43880</c:v>
                </c:pt>
                <c:pt idx="529">
                  <c:v>43881</c:v>
                </c:pt>
                <c:pt idx="530">
                  <c:v>43882</c:v>
                </c:pt>
                <c:pt idx="531">
                  <c:v>43885</c:v>
                </c:pt>
                <c:pt idx="532">
                  <c:v>43886</c:v>
                </c:pt>
                <c:pt idx="533">
                  <c:v>43887</c:v>
                </c:pt>
                <c:pt idx="534">
                  <c:v>43888</c:v>
                </c:pt>
                <c:pt idx="535">
                  <c:v>43889</c:v>
                </c:pt>
                <c:pt idx="536">
                  <c:v>43892</c:v>
                </c:pt>
                <c:pt idx="537">
                  <c:v>43893</c:v>
                </c:pt>
                <c:pt idx="538">
                  <c:v>43894</c:v>
                </c:pt>
                <c:pt idx="539">
                  <c:v>43895</c:v>
                </c:pt>
                <c:pt idx="540">
                  <c:v>43896</c:v>
                </c:pt>
                <c:pt idx="541">
                  <c:v>43899</c:v>
                </c:pt>
                <c:pt idx="542">
                  <c:v>43900</c:v>
                </c:pt>
                <c:pt idx="543">
                  <c:v>43901</c:v>
                </c:pt>
                <c:pt idx="544">
                  <c:v>43902</c:v>
                </c:pt>
                <c:pt idx="545">
                  <c:v>43903</c:v>
                </c:pt>
                <c:pt idx="546">
                  <c:v>43906</c:v>
                </c:pt>
                <c:pt idx="547">
                  <c:v>43907</c:v>
                </c:pt>
                <c:pt idx="548">
                  <c:v>43908</c:v>
                </c:pt>
                <c:pt idx="549">
                  <c:v>43909</c:v>
                </c:pt>
                <c:pt idx="550">
                  <c:v>43910</c:v>
                </c:pt>
                <c:pt idx="551">
                  <c:v>43913</c:v>
                </c:pt>
                <c:pt idx="552">
                  <c:v>43914</c:v>
                </c:pt>
                <c:pt idx="553">
                  <c:v>43915</c:v>
                </c:pt>
                <c:pt idx="554">
                  <c:v>43916</c:v>
                </c:pt>
                <c:pt idx="555">
                  <c:v>43917</c:v>
                </c:pt>
                <c:pt idx="556">
                  <c:v>43920</c:v>
                </c:pt>
                <c:pt idx="557">
                  <c:v>43921</c:v>
                </c:pt>
                <c:pt idx="558">
                  <c:v>43922</c:v>
                </c:pt>
                <c:pt idx="559">
                  <c:v>43923</c:v>
                </c:pt>
                <c:pt idx="560">
                  <c:v>43924</c:v>
                </c:pt>
                <c:pt idx="561">
                  <c:v>43927</c:v>
                </c:pt>
                <c:pt idx="562">
                  <c:v>43928</c:v>
                </c:pt>
                <c:pt idx="563">
                  <c:v>43929</c:v>
                </c:pt>
                <c:pt idx="564">
                  <c:v>43930</c:v>
                </c:pt>
                <c:pt idx="565">
                  <c:v>43931</c:v>
                </c:pt>
                <c:pt idx="566">
                  <c:v>43934</c:v>
                </c:pt>
                <c:pt idx="567">
                  <c:v>43935</c:v>
                </c:pt>
                <c:pt idx="568">
                  <c:v>43936</c:v>
                </c:pt>
                <c:pt idx="569">
                  <c:v>43937</c:v>
                </c:pt>
                <c:pt idx="570">
                  <c:v>43938</c:v>
                </c:pt>
                <c:pt idx="571">
                  <c:v>43941</c:v>
                </c:pt>
                <c:pt idx="572">
                  <c:v>43942</c:v>
                </c:pt>
                <c:pt idx="573">
                  <c:v>43943</c:v>
                </c:pt>
                <c:pt idx="574">
                  <c:v>43944</c:v>
                </c:pt>
                <c:pt idx="575">
                  <c:v>43945</c:v>
                </c:pt>
                <c:pt idx="576">
                  <c:v>43948</c:v>
                </c:pt>
                <c:pt idx="577">
                  <c:v>43949</c:v>
                </c:pt>
                <c:pt idx="578">
                  <c:v>43950</c:v>
                </c:pt>
                <c:pt idx="579">
                  <c:v>43951</c:v>
                </c:pt>
                <c:pt idx="580">
                  <c:v>43952</c:v>
                </c:pt>
                <c:pt idx="581">
                  <c:v>43955</c:v>
                </c:pt>
                <c:pt idx="582">
                  <c:v>43956</c:v>
                </c:pt>
                <c:pt idx="583">
                  <c:v>43957</c:v>
                </c:pt>
                <c:pt idx="584">
                  <c:v>43958</c:v>
                </c:pt>
                <c:pt idx="585">
                  <c:v>43959</c:v>
                </c:pt>
                <c:pt idx="586">
                  <c:v>43962</c:v>
                </c:pt>
                <c:pt idx="587">
                  <c:v>43963</c:v>
                </c:pt>
                <c:pt idx="588">
                  <c:v>43964</c:v>
                </c:pt>
                <c:pt idx="589">
                  <c:v>43965</c:v>
                </c:pt>
                <c:pt idx="590">
                  <c:v>43966</c:v>
                </c:pt>
                <c:pt idx="591">
                  <c:v>43969</c:v>
                </c:pt>
                <c:pt idx="592">
                  <c:v>43970</c:v>
                </c:pt>
                <c:pt idx="593">
                  <c:v>43971</c:v>
                </c:pt>
                <c:pt idx="594">
                  <c:v>43972</c:v>
                </c:pt>
                <c:pt idx="595">
                  <c:v>43973</c:v>
                </c:pt>
                <c:pt idx="596">
                  <c:v>43976</c:v>
                </c:pt>
                <c:pt idx="597">
                  <c:v>43977</c:v>
                </c:pt>
                <c:pt idx="598">
                  <c:v>43978</c:v>
                </c:pt>
                <c:pt idx="599">
                  <c:v>43979</c:v>
                </c:pt>
                <c:pt idx="600">
                  <c:v>43980</c:v>
                </c:pt>
                <c:pt idx="601">
                  <c:v>43983</c:v>
                </c:pt>
                <c:pt idx="602">
                  <c:v>43984</c:v>
                </c:pt>
                <c:pt idx="603">
                  <c:v>43985</c:v>
                </c:pt>
                <c:pt idx="604">
                  <c:v>43986</c:v>
                </c:pt>
                <c:pt idx="605">
                  <c:v>43987</c:v>
                </c:pt>
                <c:pt idx="606">
                  <c:v>43990</c:v>
                </c:pt>
                <c:pt idx="607">
                  <c:v>43991</c:v>
                </c:pt>
                <c:pt idx="608">
                  <c:v>43992</c:v>
                </c:pt>
                <c:pt idx="609">
                  <c:v>43993</c:v>
                </c:pt>
                <c:pt idx="610">
                  <c:v>43994</c:v>
                </c:pt>
                <c:pt idx="611">
                  <c:v>43997</c:v>
                </c:pt>
                <c:pt idx="612">
                  <c:v>43998</c:v>
                </c:pt>
                <c:pt idx="613">
                  <c:v>43999</c:v>
                </c:pt>
                <c:pt idx="614">
                  <c:v>44000</c:v>
                </c:pt>
                <c:pt idx="615">
                  <c:v>44001</c:v>
                </c:pt>
                <c:pt idx="616">
                  <c:v>44004</c:v>
                </c:pt>
                <c:pt idx="617">
                  <c:v>44005</c:v>
                </c:pt>
                <c:pt idx="618">
                  <c:v>44006</c:v>
                </c:pt>
                <c:pt idx="619">
                  <c:v>44007</c:v>
                </c:pt>
                <c:pt idx="620">
                  <c:v>44008</c:v>
                </c:pt>
                <c:pt idx="621">
                  <c:v>44011</c:v>
                </c:pt>
                <c:pt idx="622">
                  <c:v>44012</c:v>
                </c:pt>
                <c:pt idx="623">
                  <c:v>44013</c:v>
                </c:pt>
                <c:pt idx="624">
                  <c:v>44014</c:v>
                </c:pt>
                <c:pt idx="625">
                  <c:v>44015</c:v>
                </c:pt>
                <c:pt idx="626">
                  <c:v>44018</c:v>
                </c:pt>
                <c:pt idx="627">
                  <c:v>44019</c:v>
                </c:pt>
                <c:pt idx="628">
                  <c:v>44020</c:v>
                </c:pt>
                <c:pt idx="629">
                  <c:v>44021</c:v>
                </c:pt>
                <c:pt idx="630">
                  <c:v>44022</c:v>
                </c:pt>
                <c:pt idx="631">
                  <c:v>44025</c:v>
                </c:pt>
                <c:pt idx="632">
                  <c:v>44026</c:v>
                </c:pt>
                <c:pt idx="633">
                  <c:v>44027</c:v>
                </c:pt>
                <c:pt idx="634">
                  <c:v>44028</c:v>
                </c:pt>
                <c:pt idx="635">
                  <c:v>44029</c:v>
                </c:pt>
                <c:pt idx="636">
                  <c:v>44032</c:v>
                </c:pt>
                <c:pt idx="637">
                  <c:v>44033</c:v>
                </c:pt>
                <c:pt idx="638">
                  <c:v>44034</c:v>
                </c:pt>
                <c:pt idx="639">
                  <c:v>44035</c:v>
                </c:pt>
                <c:pt idx="640">
                  <c:v>44036</c:v>
                </c:pt>
                <c:pt idx="641">
                  <c:v>44039</c:v>
                </c:pt>
                <c:pt idx="642">
                  <c:v>44040</c:v>
                </c:pt>
                <c:pt idx="643">
                  <c:v>44041</c:v>
                </c:pt>
                <c:pt idx="644">
                  <c:v>44042</c:v>
                </c:pt>
                <c:pt idx="645">
                  <c:v>44043</c:v>
                </c:pt>
                <c:pt idx="646">
                  <c:v>44046</c:v>
                </c:pt>
                <c:pt idx="647">
                  <c:v>44047</c:v>
                </c:pt>
                <c:pt idx="648">
                  <c:v>44048</c:v>
                </c:pt>
                <c:pt idx="649">
                  <c:v>44049</c:v>
                </c:pt>
                <c:pt idx="650">
                  <c:v>44050</c:v>
                </c:pt>
                <c:pt idx="651">
                  <c:v>44053</c:v>
                </c:pt>
                <c:pt idx="652">
                  <c:v>44054</c:v>
                </c:pt>
                <c:pt idx="653">
                  <c:v>44055</c:v>
                </c:pt>
                <c:pt idx="654">
                  <c:v>44056</c:v>
                </c:pt>
                <c:pt idx="655">
                  <c:v>44057</c:v>
                </c:pt>
                <c:pt idx="656">
                  <c:v>44060</c:v>
                </c:pt>
                <c:pt idx="657">
                  <c:v>44061</c:v>
                </c:pt>
                <c:pt idx="658">
                  <c:v>44062</c:v>
                </c:pt>
                <c:pt idx="659">
                  <c:v>44063</c:v>
                </c:pt>
                <c:pt idx="660">
                  <c:v>44064</c:v>
                </c:pt>
                <c:pt idx="661">
                  <c:v>44067</c:v>
                </c:pt>
                <c:pt idx="662">
                  <c:v>44068</c:v>
                </c:pt>
                <c:pt idx="663">
                  <c:v>44069</c:v>
                </c:pt>
                <c:pt idx="664">
                  <c:v>44070</c:v>
                </c:pt>
                <c:pt idx="665">
                  <c:v>44071</c:v>
                </c:pt>
                <c:pt idx="666">
                  <c:v>44074</c:v>
                </c:pt>
                <c:pt idx="667">
                  <c:v>44075</c:v>
                </c:pt>
                <c:pt idx="668">
                  <c:v>44076</c:v>
                </c:pt>
                <c:pt idx="669">
                  <c:v>44077</c:v>
                </c:pt>
                <c:pt idx="670">
                  <c:v>44078</c:v>
                </c:pt>
                <c:pt idx="671">
                  <c:v>44081</c:v>
                </c:pt>
                <c:pt idx="672">
                  <c:v>44082</c:v>
                </c:pt>
                <c:pt idx="673">
                  <c:v>44083</c:v>
                </c:pt>
                <c:pt idx="674">
                  <c:v>44084</c:v>
                </c:pt>
                <c:pt idx="675">
                  <c:v>44085</c:v>
                </c:pt>
                <c:pt idx="676">
                  <c:v>44088</c:v>
                </c:pt>
                <c:pt idx="677">
                  <c:v>44089</c:v>
                </c:pt>
                <c:pt idx="678">
                  <c:v>44090</c:v>
                </c:pt>
                <c:pt idx="679">
                  <c:v>44091</c:v>
                </c:pt>
                <c:pt idx="680">
                  <c:v>44092</c:v>
                </c:pt>
                <c:pt idx="681">
                  <c:v>44095</c:v>
                </c:pt>
                <c:pt idx="682">
                  <c:v>44096</c:v>
                </c:pt>
                <c:pt idx="683">
                  <c:v>44097</c:v>
                </c:pt>
                <c:pt idx="684">
                  <c:v>44098</c:v>
                </c:pt>
                <c:pt idx="685">
                  <c:v>44099</c:v>
                </c:pt>
                <c:pt idx="686">
                  <c:v>44102</c:v>
                </c:pt>
                <c:pt idx="687">
                  <c:v>44103</c:v>
                </c:pt>
                <c:pt idx="688">
                  <c:v>44104</c:v>
                </c:pt>
                <c:pt idx="689">
                  <c:v>44105</c:v>
                </c:pt>
                <c:pt idx="690">
                  <c:v>44106</c:v>
                </c:pt>
                <c:pt idx="691">
                  <c:v>44109</c:v>
                </c:pt>
                <c:pt idx="692">
                  <c:v>44110</c:v>
                </c:pt>
                <c:pt idx="693">
                  <c:v>44111</c:v>
                </c:pt>
                <c:pt idx="694">
                  <c:v>44112</c:v>
                </c:pt>
                <c:pt idx="695">
                  <c:v>44113</c:v>
                </c:pt>
                <c:pt idx="696">
                  <c:v>44116</c:v>
                </c:pt>
                <c:pt idx="697">
                  <c:v>44117</c:v>
                </c:pt>
                <c:pt idx="698">
                  <c:v>44118</c:v>
                </c:pt>
                <c:pt idx="699">
                  <c:v>44119</c:v>
                </c:pt>
                <c:pt idx="700">
                  <c:v>44120</c:v>
                </c:pt>
                <c:pt idx="701">
                  <c:v>44123</c:v>
                </c:pt>
                <c:pt idx="702">
                  <c:v>44124</c:v>
                </c:pt>
                <c:pt idx="703">
                  <c:v>44125</c:v>
                </c:pt>
                <c:pt idx="704">
                  <c:v>44126</c:v>
                </c:pt>
                <c:pt idx="705">
                  <c:v>44127</c:v>
                </c:pt>
                <c:pt idx="706">
                  <c:v>44130</c:v>
                </c:pt>
                <c:pt idx="707">
                  <c:v>44131</c:v>
                </c:pt>
                <c:pt idx="708">
                  <c:v>44132</c:v>
                </c:pt>
                <c:pt idx="709">
                  <c:v>44133</c:v>
                </c:pt>
                <c:pt idx="710">
                  <c:v>44134</c:v>
                </c:pt>
                <c:pt idx="711">
                  <c:v>44137</c:v>
                </c:pt>
                <c:pt idx="712">
                  <c:v>44138</c:v>
                </c:pt>
                <c:pt idx="713">
                  <c:v>44139</c:v>
                </c:pt>
                <c:pt idx="714">
                  <c:v>44140</c:v>
                </c:pt>
                <c:pt idx="715">
                  <c:v>44141</c:v>
                </c:pt>
                <c:pt idx="716">
                  <c:v>44144</c:v>
                </c:pt>
                <c:pt idx="717">
                  <c:v>44145</c:v>
                </c:pt>
                <c:pt idx="718">
                  <c:v>44146</c:v>
                </c:pt>
                <c:pt idx="719">
                  <c:v>44147</c:v>
                </c:pt>
                <c:pt idx="720">
                  <c:v>44148</c:v>
                </c:pt>
                <c:pt idx="721">
                  <c:v>44151</c:v>
                </c:pt>
                <c:pt idx="722">
                  <c:v>44152</c:v>
                </c:pt>
                <c:pt idx="723">
                  <c:v>44153</c:v>
                </c:pt>
                <c:pt idx="724">
                  <c:v>44154</c:v>
                </c:pt>
                <c:pt idx="725">
                  <c:v>44155</c:v>
                </c:pt>
                <c:pt idx="726">
                  <c:v>44158</c:v>
                </c:pt>
                <c:pt idx="727">
                  <c:v>44159</c:v>
                </c:pt>
                <c:pt idx="728">
                  <c:v>44160</c:v>
                </c:pt>
                <c:pt idx="729">
                  <c:v>44161</c:v>
                </c:pt>
                <c:pt idx="730">
                  <c:v>44162</c:v>
                </c:pt>
                <c:pt idx="731">
                  <c:v>44165</c:v>
                </c:pt>
                <c:pt idx="732">
                  <c:v>44166</c:v>
                </c:pt>
                <c:pt idx="733">
                  <c:v>44167</c:v>
                </c:pt>
                <c:pt idx="734">
                  <c:v>44168</c:v>
                </c:pt>
                <c:pt idx="735">
                  <c:v>44169</c:v>
                </c:pt>
                <c:pt idx="736">
                  <c:v>44172</c:v>
                </c:pt>
                <c:pt idx="737">
                  <c:v>44173</c:v>
                </c:pt>
                <c:pt idx="738">
                  <c:v>44174</c:v>
                </c:pt>
                <c:pt idx="739">
                  <c:v>44175</c:v>
                </c:pt>
                <c:pt idx="740">
                  <c:v>44176</c:v>
                </c:pt>
                <c:pt idx="741">
                  <c:v>44179</c:v>
                </c:pt>
                <c:pt idx="742">
                  <c:v>44180</c:v>
                </c:pt>
                <c:pt idx="743">
                  <c:v>44181</c:v>
                </c:pt>
                <c:pt idx="744">
                  <c:v>44182</c:v>
                </c:pt>
                <c:pt idx="745">
                  <c:v>44183</c:v>
                </c:pt>
                <c:pt idx="746">
                  <c:v>44186</c:v>
                </c:pt>
                <c:pt idx="747">
                  <c:v>44187</c:v>
                </c:pt>
                <c:pt idx="748">
                  <c:v>44188</c:v>
                </c:pt>
                <c:pt idx="749">
                  <c:v>44189</c:v>
                </c:pt>
                <c:pt idx="750">
                  <c:v>44190</c:v>
                </c:pt>
                <c:pt idx="751">
                  <c:v>44193</c:v>
                </c:pt>
                <c:pt idx="752">
                  <c:v>44194</c:v>
                </c:pt>
                <c:pt idx="753">
                  <c:v>44195</c:v>
                </c:pt>
                <c:pt idx="754">
                  <c:v>44196</c:v>
                </c:pt>
                <c:pt idx="755">
                  <c:v>44197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44214</c:v>
                </c:pt>
                <c:pt idx="767">
                  <c:v>44215</c:v>
                </c:pt>
                <c:pt idx="768">
                  <c:v>44216</c:v>
                </c:pt>
                <c:pt idx="769">
                  <c:v>44217</c:v>
                </c:pt>
                <c:pt idx="770">
                  <c:v>44218</c:v>
                </c:pt>
                <c:pt idx="771">
                  <c:v>44221</c:v>
                </c:pt>
                <c:pt idx="772">
                  <c:v>44222</c:v>
                </c:pt>
                <c:pt idx="773">
                  <c:v>44223</c:v>
                </c:pt>
                <c:pt idx="774">
                  <c:v>44224</c:v>
                </c:pt>
                <c:pt idx="775">
                  <c:v>44225</c:v>
                </c:pt>
                <c:pt idx="776">
                  <c:v>44228</c:v>
                </c:pt>
                <c:pt idx="777">
                  <c:v>44229</c:v>
                </c:pt>
                <c:pt idx="778">
                  <c:v>44230</c:v>
                </c:pt>
                <c:pt idx="779">
                  <c:v>44231</c:v>
                </c:pt>
                <c:pt idx="780">
                  <c:v>44232</c:v>
                </c:pt>
                <c:pt idx="781">
                  <c:v>44235</c:v>
                </c:pt>
                <c:pt idx="782">
                  <c:v>44236</c:v>
                </c:pt>
                <c:pt idx="783">
                  <c:v>44237</c:v>
                </c:pt>
                <c:pt idx="784">
                  <c:v>44238</c:v>
                </c:pt>
                <c:pt idx="785">
                  <c:v>44239</c:v>
                </c:pt>
                <c:pt idx="786">
                  <c:v>44242</c:v>
                </c:pt>
                <c:pt idx="787">
                  <c:v>44243</c:v>
                </c:pt>
                <c:pt idx="788">
                  <c:v>44244</c:v>
                </c:pt>
                <c:pt idx="789">
                  <c:v>44245</c:v>
                </c:pt>
                <c:pt idx="790">
                  <c:v>44246</c:v>
                </c:pt>
                <c:pt idx="791">
                  <c:v>44249</c:v>
                </c:pt>
                <c:pt idx="792">
                  <c:v>44250</c:v>
                </c:pt>
                <c:pt idx="793">
                  <c:v>44251</c:v>
                </c:pt>
                <c:pt idx="794">
                  <c:v>44252</c:v>
                </c:pt>
                <c:pt idx="795">
                  <c:v>44253</c:v>
                </c:pt>
                <c:pt idx="796">
                  <c:v>44256</c:v>
                </c:pt>
                <c:pt idx="797">
                  <c:v>44257</c:v>
                </c:pt>
                <c:pt idx="798">
                  <c:v>44258</c:v>
                </c:pt>
                <c:pt idx="799">
                  <c:v>44259</c:v>
                </c:pt>
                <c:pt idx="800">
                  <c:v>44260</c:v>
                </c:pt>
                <c:pt idx="801">
                  <c:v>44263</c:v>
                </c:pt>
                <c:pt idx="802">
                  <c:v>44264</c:v>
                </c:pt>
                <c:pt idx="803">
                  <c:v>44265</c:v>
                </c:pt>
                <c:pt idx="804">
                  <c:v>44266</c:v>
                </c:pt>
                <c:pt idx="805">
                  <c:v>44267</c:v>
                </c:pt>
                <c:pt idx="806">
                  <c:v>44270</c:v>
                </c:pt>
                <c:pt idx="807">
                  <c:v>44271</c:v>
                </c:pt>
                <c:pt idx="808">
                  <c:v>44272</c:v>
                </c:pt>
                <c:pt idx="809">
                  <c:v>44273</c:v>
                </c:pt>
                <c:pt idx="810">
                  <c:v>44274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44284</c:v>
                </c:pt>
                <c:pt idx="817">
                  <c:v>44285</c:v>
                </c:pt>
                <c:pt idx="818">
                  <c:v>44286</c:v>
                </c:pt>
                <c:pt idx="819">
                  <c:v>44287</c:v>
                </c:pt>
                <c:pt idx="820">
                  <c:v>44288</c:v>
                </c:pt>
                <c:pt idx="821">
                  <c:v>44291</c:v>
                </c:pt>
                <c:pt idx="822">
                  <c:v>44292</c:v>
                </c:pt>
                <c:pt idx="823">
                  <c:v>44293</c:v>
                </c:pt>
                <c:pt idx="824">
                  <c:v>44294</c:v>
                </c:pt>
                <c:pt idx="825">
                  <c:v>44295</c:v>
                </c:pt>
                <c:pt idx="826">
                  <c:v>44298</c:v>
                </c:pt>
                <c:pt idx="827">
                  <c:v>44299</c:v>
                </c:pt>
                <c:pt idx="828">
                  <c:v>44300</c:v>
                </c:pt>
                <c:pt idx="829">
                  <c:v>44301</c:v>
                </c:pt>
                <c:pt idx="830">
                  <c:v>44302</c:v>
                </c:pt>
                <c:pt idx="831">
                  <c:v>44305</c:v>
                </c:pt>
                <c:pt idx="832">
                  <c:v>44306</c:v>
                </c:pt>
                <c:pt idx="833">
                  <c:v>44307</c:v>
                </c:pt>
                <c:pt idx="834">
                  <c:v>44308</c:v>
                </c:pt>
                <c:pt idx="835">
                  <c:v>44309</c:v>
                </c:pt>
                <c:pt idx="836">
                  <c:v>44312</c:v>
                </c:pt>
                <c:pt idx="837">
                  <c:v>44313</c:v>
                </c:pt>
                <c:pt idx="838">
                  <c:v>44314</c:v>
                </c:pt>
                <c:pt idx="839">
                  <c:v>44315</c:v>
                </c:pt>
                <c:pt idx="840">
                  <c:v>44316</c:v>
                </c:pt>
                <c:pt idx="841">
                  <c:v>44319</c:v>
                </c:pt>
                <c:pt idx="842">
                  <c:v>44320</c:v>
                </c:pt>
                <c:pt idx="843">
                  <c:v>44321</c:v>
                </c:pt>
                <c:pt idx="844">
                  <c:v>44322</c:v>
                </c:pt>
                <c:pt idx="845">
                  <c:v>44323</c:v>
                </c:pt>
                <c:pt idx="846">
                  <c:v>44326</c:v>
                </c:pt>
                <c:pt idx="847">
                  <c:v>44327</c:v>
                </c:pt>
                <c:pt idx="848">
                  <c:v>44328</c:v>
                </c:pt>
                <c:pt idx="849">
                  <c:v>44329</c:v>
                </c:pt>
                <c:pt idx="850">
                  <c:v>44330</c:v>
                </c:pt>
                <c:pt idx="851">
                  <c:v>44333</c:v>
                </c:pt>
                <c:pt idx="852">
                  <c:v>44334</c:v>
                </c:pt>
                <c:pt idx="853">
                  <c:v>44335</c:v>
                </c:pt>
                <c:pt idx="854">
                  <c:v>44336</c:v>
                </c:pt>
                <c:pt idx="855">
                  <c:v>44337</c:v>
                </c:pt>
                <c:pt idx="856">
                  <c:v>44340</c:v>
                </c:pt>
                <c:pt idx="857">
                  <c:v>44341</c:v>
                </c:pt>
                <c:pt idx="858">
                  <c:v>44342</c:v>
                </c:pt>
                <c:pt idx="859">
                  <c:v>44343</c:v>
                </c:pt>
                <c:pt idx="860">
                  <c:v>44344</c:v>
                </c:pt>
                <c:pt idx="861">
                  <c:v>44347</c:v>
                </c:pt>
                <c:pt idx="862">
                  <c:v>44348</c:v>
                </c:pt>
                <c:pt idx="863">
                  <c:v>44349</c:v>
                </c:pt>
                <c:pt idx="864">
                  <c:v>44350</c:v>
                </c:pt>
                <c:pt idx="865">
                  <c:v>44351</c:v>
                </c:pt>
                <c:pt idx="866">
                  <c:v>44354</c:v>
                </c:pt>
                <c:pt idx="867">
                  <c:v>44355</c:v>
                </c:pt>
                <c:pt idx="868">
                  <c:v>44356</c:v>
                </c:pt>
                <c:pt idx="869">
                  <c:v>44357</c:v>
                </c:pt>
                <c:pt idx="870">
                  <c:v>44358</c:v>
                </c:pt>
                <c:pt idx="871">
                  <c:v>44361</c:v>
                </c:pt>
                <c:pt idx="872">
                  <c:v>44362</c:v>
                </c:pt>
                <c:pt idx="873">
                  <c:v>44363</c:v>
                </c:pt>
                <c:pt idx="874">
                  <c:v>44364</c:v>
                </c:pt>
                <c:pt idx="875">
                  <c:v>44365</c:v>
                </c:pt>
                <c:pt idx="876">
                  <c:v>44368</c:v>
                </c:pt>
                <c:pt idx="877">
                  <c:v>44369</c:v>
                </c:pt>
                <c:pt idx="878">
                  <c:v>44370</c:v>
                </c:pt>
                <c:pt idx="879">
                  <c:v>44371</c:v>
                </c:pt>
                <c:pt idx="880">
                  <c:v>44372</c:v>
                </c:pt>
                <c:pt idx="881">
                  <c:v>44375</c:v>
                </c:pt>
                <c:pt idx="882">
                  <c:v>44376</c:v>
                </c:pt>
                <c:pt idx="883">
                  <c:v>44377</c:v>
                </c:pt>
                <c:pt idx="884">
                  <c:v>44378</c:v>
                </c:pt>
                <c:pt idx="885">
                  <c:v>44379</c:v>
                </c:pt>
                <c:pt idx="886">
                  <c:v>44382</c:v>
                </c:pt>
                <c:pt idx="887">
                  <c:v>44383</c:v>
                </c:pt>
                <c:pt idx="888">
                  <c:v>44384</c:v>
                </c:pt>
                <c:pt idx="889">
                  <c:v>44385</c:v>
                </c:pt>
                <c:pt idx="890">
                  <c:v>44386</c:v>
                </c:pt>
                <c:pt idx="891">
                  <c:v>44389</c:v>
                </c:pt>
                <c:pt idx="892">
                  <c:v>44390</c:v>
                </c:pt>
                <c:pt idx="893">
                  <c:v>44391</c:v>
                </c:pt>
                <c:pt idx="894">
                  <c:v>44392</c:v>
                </c:pt>
                <c:pt idx="895">
                  <c:v>44393</c:v>
                </c:pt>
                <c:pt idx="896">
                  <c:v>44396</c:v>
                </c:pt>
                <c:pt idx="897">
                  <c:v>44397</c:v>
                </c:pt>
                <c:pt idx="898">
                  <c:v>44398</c:v>
                </c:pt>
                <c:pt idx="899">
                  <c:v>44399</c:v>
                </c:pt>
                <c:pt idx="900">
                  <c:v>44400</c:v>
                </c:pt>
                <c:pt idx="901">
                  <c:v>44403</c:v>
                </c:pt>
                <c:pt idx="902">
                  <c:v>44404</c:v>
                </c:pt>
                <c:pt idx="903">
                  <c:v>44405</c:v>
                </c:pt>
                <c:pt idx="904">
                  <c:v>44406</c:v>
                </c:pt>
                <c:pt idx="905">
                  <c:v>44407</c:v>
                </c:pt>
                <c:pt idx="906">
                  <c:v>44410</c:v>
                </c:pt>
                <c:pt idx="907">
                  <c:v>44411</c:v>
                </c:pt>
                <c:pt idx="908">
                  <c:v>44412</c:v>
                </c:pt>
                <c:pt idx="909">
                  <c:v>44413</c:v>
                </c:pt>
                <c:pt idx="910">
                  <c:v>44414</c:v>
                </c:pt>
                <c:pt idx="911">
                  <c:v>44417</c:v>
                </c:pt>
                <c:pt idx="912">
                  <c:v>44418</c:v>
                </c:pt>
                <c:pt idx="913">
                  <c:v>44419</c:v>
                </c:pt>
                <c:pt idx="914">
                  <c:v>44420</c:v>
                </c:pt>
                <c:pt idx="915">
                  <c:v>44421</c:v>
                </c:pt>
                <c:pt idx="916">
                  <c:v>44424</c:v>
                </c:pt>
                <c:pt idx="917">
                  <c:v>44425</c:v>
                </c:pt>
                <c:pt idx="918">
                  <c:v>44426</c:v>
                </c:pt>
                <c:pt idx="919">
                  <c:v>44427</c:v>
                </c:pt>
                <c:pt idx="920">
                  <c:v>44428</c:v>
                </c:pt>
                <c:pt idx="921">
                  <c:v>44431</c:v>
                </c:pt>
                <c:pt idx="922">
                  <c:v>44432</c:v>
                </c:pt>
                <c:pt idx="923">
                  <c:v>44433</c:v>
                </c:pt>
                <c:pt idx="924">
                  <c:v>44434</c:v>
                </c:pt>
                <c:pt idx="925">
                  <c:v>44435</c:v>
                </c:pt>
                <c:pt idx="926">
                  <c:v>44438</c:v>
                </c:pt>
                <c:pt idx="927">
                  <c:v>44439</c:v>
                </c:pt>
                <c:pt idx="928">
                  <c:v>44440</c:v>
                </c:pt>
                <c:pt idx="929">
                  <c:v>44441</c:v>
                </c:pt>
                <c:pt idx="930">
                  <c:v>44442</c:v>
                </c:pt>
                <c:pt idx="931">
                  <c:v>44445</c:v>
                </c:pt>
                <c:pt idx="932">
                  <c:v>44446</c:v>
                </c:pt>
                <c:pt idx="933">
                  <c:v>44447</c:v>
                </c:pt>
                <c:pt idx="934">
                  <c:v>44448</c:v>
                </c:pt>
                <c:pt idx="935">
                  <c:v>44449</c:v>
                </c:pt>
                <c:pt idx="936">
                  <c:v>44452</c:v>
                </c:pt>
                <c:pt idx="937">
                  <c:v>44453</c:v>
                </c:pt>
                <c:pt idx="938">
                  <c:v>44454</c:v>
                </c:pt>
                <c:pt idx="939">
                  <c:v>44455</c:v>
                </c:pt>
                <c:pt idx="940">
                  <c:v>44456</c:v>
                </c:pt>
                <c:pt idx="941">
                  <c:v>44459</c:v>
                </c:pt>
                <c:pt idx="942">
                  <c:v>44460</c:v>
                </c:pt>
                <c:pt idx="943">
                  <c:v>44461</c:v>
                </c:pt>
                <c:pt idx="944">
                  <c:v>44462</c:v>
                </c:pt>
                <c:pt idx="945">
                  <c:v>44463</c:v>
                </c:pt>
                <c:pt idx="946">
                  <c:v>44466</c:v>
                </c:pt>
                <c:pt idx="947">
                  <c:v>44467</c:v>
                </c:pt>
                <c:pt idx="948">
                  <c:v>44468</c:v>
                </c:pt>
                <c:pt idx="949">
                  <c:v>44469</c:v>
                </c:pt>
                <c:pt idx="950">
                  <c:v>44470</c:v>
                </c:pt>
                <c:pt idx="951">
                  <c:v>44473</c:v>
                </c:pt>
                <c:pt idx="952">
                  <c:v>44474</c:v>
                </c:pt>
                <c:pt idx="953">
                  <c:v>44475</c:v>
                </c:pt>
                <c:pt idx="954">
                  <c:v>44476</c:v>
                </c:pt>
                <c:pt idx="955">
                  <c:v>44477</c:v>
                </c:pt>
                <c:pt idx="956">
                  <c:v>44480</c:v>
                </c:pt>
                <c:pt idx="957">
                  <c:v>44481</c:v>
                </c:pt>
                <c:pt idx="958">
                  <c:v>44482</c:v>
                </c:pt>
                <c:pt idx="959">
                  <c:v>44483</c:v>
                </c:pt>
                <c:pt idx="960">
                  <c:v>44484</c:v>
                </c:pt>
                <c:pt idx="961">
                  <c:v>44487</c:v>
                </c:pt>
                <c:pt idx="962">
                  <c:v>44488</c:v>
                </c:pt>
                <c:pt idx="963">
                  <c:v>44489</c:v>
                </c:pt>
                <c:pt idx="964">
                  <c:v>44490</c:v>
                </c:pt>
                <c:pt idx="965">
                  <c:v>44491</c:v>
                </c:pt>
                <c:pt idx="966">
                  <c:v>44494</c:v>
                </c:pt>
                <c:pt idx="967">
                  <c:v>44495</c:v>
                </c:pt>
                <c:pt idx="968">
                  <c:v>44496</c:v>
                </c:pt>
                <c:pt idx="969">
                  <c:v>44497</c:v>
                </c:pt>
                <c:pt idx="970">
                  <c:v>44498</c:v>
                </c:pt>
                <c:pt idx="971">
                  <c:v>44501</c:v>
                </c:pt>
                <c:pt idx="972">
                  <c:v>44502</c:v>
                </c:pt>
                <c:pt idx="973">
                  <c:v>44503</c:v>
                </c:pt>
                <c:pt idx="974">
                  <c:v>44504</c:v>
                </c:pt>
                <c:pt idx="975">
                  <c:v>44505</c:v>
                </c:pt>
                <c:pt idx="976">
                  <c:v>44508</c:v>
                </c:pt>
                <c:pt idx="977">
                  <c:v>44509</c:v>
                </c:pt>
                <c:pt idx="978">
                  <c:v>44510</c:v>
                </c:pt>
                <c:pt idx="979">
                  <c:v>44511</c:v>
                </c:pt>
                <c:pt idx="980">
                  <c:v>44512</c:v>
                </c:pt>
                <c:pt idx="981">
                  <c:v>44515</c:v>
                </c:pt>
                <c:pt idx="982">
                  <c:v>44516</c:v>
                </c:pt>
                <c:pt idx="983">
                  <c:v>44517</c:v>
                </c:pt>
                <c:pt idx="984">
                  <c:v>44518</c:v>
                </c:pt>
                <c:pt idx="985">
                  <c:v>44519</c:v>
                </c:pt>
                <c:pt idx="986">
                  <c:v>44522</c:v>
                </c:pt>
                <c:pt idx="987">
                  <c:v>44523</c:v>
                </c:pt>
                <c:pt idx="988">
                  <c:v>44524</c:v>
                </c:pt>
                <c:pt idx="989">
                  <c:v>44525</c:v>
                </c:pt>
                <c:pt idx="990">
                  <c:v>44526</c:v>
                </c:pt>
                <c:pt idx="991">
                  <c:v>44529</c:v>
                </c:pt>
                <c:pt idx="992">
                  <c:v>44530</c:v>
                </c:pt>
                <c:pt idx="993">
                  <c:v>44531</c:v>
                </c:pt>
                <c:pt idx="994">
                  <c:v>44532</c:v>
                </c:pt>
                <c:pt idx="995">
                  <c:v>44533</c:v>
                </c:pt>
                <c:pt idx="996">
                  <c:v>44536</c:v>
                </c:pt>
                <c:pt idx="997">
                  <c:v>44537</c:v>
                </c:pt>
                <c:pt idx="998">
                  <c:v>44538</c:v>
                </c:pt>
                <c:pt idx="999">
                  <c:v>44539</c:v>
                </c:pt>
                <c:pt idx="1000">
                  <c:v>44540</c:v>
                </c:pt>
                <c:pt idx="1001">
                  <c:v>44543</c:v>
                </c:pt>
                <c:pt idx="1002">
                  <c:v>44544</c:v>
                </c:pt>
                <c:pt idx="1003">
                  <c:v>44545</c:v>
                </c:pt>
                <c:pt idx="1004">
                  <c:v>44546</c:v>
                </c:pt>
                <c:pt idx="1005">
                  <c:v>44547</c:v>
                </c:pt>
                <c:pt idx="1006">
                  <c:v>44550</c:v>
                </c:pt>
                <c:pt idx="1007">
                  <c:v>44551</c:v>
                </c:pt>
                <c:pt idx="1008">
                  <c:v>44552</c:v>
                </c:pt>
                <c:pt idx="1009">
                  <c:v>44553</c:v>
                </c:pt>
                <c:pt idx="1010">
                  <c:v>44554</c:v>
                </c:pt>
                <c:pt idx="1011">
                  <c:v>44557</c:v>
                </c:pt>
                <c:pt idx="1012">
                  <c:v>44558</c:v>
                </c:pt>
                <c:pt idx="1013">
                  <c:v>44559</c:v>
                </c:pt>
                <c:pt idx="1014">
                  <c:v>44560</c:v>
                </c:pt>
                <c:pt idx="1015">
                  <c:v>44561</c:v>
                </c:pt>
                <c:pt idx="1016">
                  <c:v>44564</c:v>
                </c:pt>
                <c:pt idx="1017">
                  <c:v>44565</c:v>
                </c:pt>
                <c:pt idx="1018">
                  <c:v>44566</c:v>
                </c:pt>
                <c:pt idx="1019">
                  <c:v>44567</c:v>
                </c:pt>
                <c:pt idx="1020">
                  <c:v>44568</c:v>
                </c:pt>
                <c:pt idx="1021">
                  <c:v>44571</c:v>
                </c:pt>
                <c:pt idx="1022">
                  <c:v>44572</c:v>
                </c:pt>
                <c:pt idx="1023">
                  <c:v>44573</c:v>
                </c:pt>
                <c:pt idx="1024">
                  <c:v>44574</c:v>
                </c:pt>
                <c:pt idx="1025">
                  <c:v>44575</c:v>
                </c:pt>
                <c:pt idx="1026">
                  <c:v>44578</c:v>
                </c:pt>
                <c:pt idx="1027">
                  <c:v>44579</c:v>
                </c:pt>
                <c:pt idx="1028">
                  <c:v>44580</c:v>
                </c:pt>
                <c:pt idx="1029">
                  <c:v>44581</c:v>
                </c:pt>
                <c:pt idx="1030">
                  <c:v>44582</c:v>
                </c:pt>
                <c:pt idx="1031">
                  <c:v>44585</c:v>
                </c:pt>
                <c:pt idx="1032">
                  <c:v>44586</c:v>
                </c:pt>
                <c:pt idx="1033">
                  <c:v>44587</c:v>
                </c:pt>
                <c:pt idx="1034">
                  <c:v>44588</c:v>
                </c:pt>
                <c:pt idx="1035">
                  <c:v>44589</c:v>
                </c:pt>
                <c:pt idx="1036">
                  <c:v>44592</c:v>
                </c:pt>
                <c:pt idx="1037">
                  <c:v>44593</c:v>
                </c:pt>
                <c:pt idx="1038">
                  <c:v>44594</c:v>
                </c:pt>
                <c:pt idx="1039">
                  <c:v>44595</c:v>
                </c:pt>
                <c:pt idx="1040">
                  <c:v>44596</c:v>
                </c:pt>
                <c:pt idx="1041">
                  <c:v>44599</c:v>
                </c:pt>
                <c:pt idx="1042">
                  <c:v>44600</c:v>
                </c:pt>
                <c:pt idx="1043">
                  <c:v>44601</c:v>
                </c:pt>
              </c:numCache>
            </c:numRef>
          </c:cat>
          <c:val>
            <c:numRef>
              <c:f>Prices!$E$4:$E$1047</c:f>
              <c:numCache>
                <c:formatCode>General</c:formatCode>
                <c:ptCount val="1044"/>
                <c:pt idx="0">
                  <c:v>2619.5500000000002</c:v>
                </c:pt>
                <c:pt idx="1">
                  <c:v>2656</c:v>
                </c:pt>
                <c:pt idx="2">
                  <c:v>2662.94</c:v>
                </c:pt>
                <c:pt idx="3">
                  <c:v>2698.63</c:v>
                </c:pt>
                <c:pt idx="4">
                  <c:v>2731.2</c:v>
                </c:pt>
                <c:pt idx="5">
                  <c:v>2732.22</c:v>
                </c:pt>
                <c:pt idx="6">
                  <c:v>2732.22</c:v>
                </c:pt>
                <c:pt idx="7">
                  <c:v>2716.26</c:v>
                </c:pt>
                <c:pt idx="8">
                  <c:v>2701.33</c:v>
                </c:pt>
                <c:pt idx="9">
                  <c:v>2703.96</c:v>
                </c:pt>
                <c:pt idx="10">
                  <c:v>2747.3</c:v>
                </c:pt>
                <c:pt idx="11">
                  <c:v>2779.6</c:v>
                </c:pt>
                <c:pt idx="12">
                  <c:v>2744.28</c:v>
                </c:pt>
                <c:pt idx="13">
                  <c:v>2713.83</c:v>
                </c:pt>
                <c:pt idx="14">
                  <c:v>2677.67</c:v>
                </c:pt>
                <c:pt idx="15">
                  <c:v>2691.25</c:v>
                </c:pt>
                <c:pt idx="16">
                  <c:v>2720.94</c:v>
                </c:pt>
                <c:pt idx="17">
                  <c:v>2728.12</c:v>
                </c:pt>
                <c:pt idx="18">
                  <c:v>2726.8</c:v>
                </c:pt>
                <c:pt idx="19">
                  <c:v>2738.97</c:v>
                </c:pt>
                <c:pt idx="20">
                  <c:v>2786.57</c:v>
                </c:pt>
                <c:pt idx="21">
                  <c:v>2783.02</c:v>
                </c:pt>
                <c:pt idx="22">
                  <c:v>2765.31</c:v>
                </c:pt>
                <c:pt idx="23">
                  <c:v>2749.48</c:v>
                </c:pt>
                <c:pt idx="24">
                  <c:v>2747.33</c:v>
                </c:pt>
                <c:pt idx="25">
                  <c:v>2752.01</c:v>
                </c:pt>
                <c:pt idx="26">
                  <c:v>2712.92</c:v>
                </c:pt>
                <c:pt idx="27">
                  <c:v>2716.94</c:v>
                </c:pt>
                <c:pt idx="28">
                  <c:v>2711.93</c:v>
                </c:pt>
                <c:pt idx="29">
                  <c:v>2643.69</c:v>
                </c:pt>
                <c:pt idx="30">
                  <c:v>2588.2600000000002</c:v>
                </c:pt>
                <c:pt idx="31">
                  <c:v>2658.55</c:v>
                </c:pt>
                <c:pt idx="32">
                  <c:v>2612.62</c:v>
                </c:pt>
                <c:pt idx="33">
                  <c:v>2605</c:v>
                </c:pt>
                <c:pt idx="34">
                  <c:v>2640.87</c:v>
                </c:pt>
                <c:pt idx="35">
                  <c:v>2640.87</c:v>
                </c:pt>
                <c:pt idx="36">
                  <c:v>2581.88</c:v>
                </c:pt>
                <c:pt idx="37">
                  <c:v>2614.4499999999998</c:v>
                </c:pt>
                <c:pt idx="38">
                  <c:v>2644.69</c:v>
                </c:pt>
                <c:pt idx="39">
                  <c:v>2662.84</c:v>
                </c:pt>
                <c:pt idx="40">
                  <c:v>2604.4699999999998</c:v>
                </c:pt>
                <c:pt idx="41">
                  <c:v>2613.16</c:v>
                </c:pt>
                <c:pt idx="42">
                  <c:v>2656.87</c:v>
                </c:pt>
                <c:pt idx="43">
                  <c:v>2642.19</c:v>
                </c:pt>
                <c:pt idx="44">
                  <c:v>2663.99</c:v>
                </c:pt>
                <c:pt idx="45">
                  <c:v>2656.3</c:v>
                </c:pt>
                <c:pt idx="46">
                  <c:v>2677.84</c:v>
                </c:pt>
                <c:pt idx="47">
                  <c:v>2706.39</c:v>
                </c:pt>
                <c:pt idx="48">
                  <c:v>2708.64</c:v>
                </c:pt>
                <c:pt idx="49">
                  <c:v>2693.13</c:v>
                </c:pt>
                <c:pt idx="50">
                  <c:v>2670.14</c:v>
                </c:pt>
                <c:pt idx="51">
                  <c:v>2670.29</c:v>
                </c:pt>
                <c:pt idx="52">
                  <c:v>2634.56</c:v>
                </c:pt>
                <c:pt idx="53">
                  <c:v>2639.4</c:v>
                </c:pt>
                <c:pt idx="54">
                  <c:v>2666.94</c:v>
                </c:pt>
                <c:pt idx="55">
                  <c:v>2669.91</c:v>
                </c:pt>
                <c:pt idx="56">
                  <c:v>2648.05</c:v>
                </c:pt>
                <c:pt idx="57">
                  <c:v>2654.8</c:v>
                </c:pt>
                <c:pt idx="58">
                  <c:v>2635.67</c:v>
                </c:pt>
                <c:pt idx="59">
                  <c:v>2629.73</c:v>
                </c:pt>
                <c:pt idx="60">
                  <c:v>2663.42</c:v>
                </c:pt>
                <c:pt idx="61">
                  <c:v>2672.63</c:v>
                </c:pt>
                <c:pt idx="62">
                  <c:v>2671.92</c:v>
                </c:pt>
                <c:pt idx="63">
                  <c:v>2697.79</c:v>
                </c:pt>
                <c:pt idx="64">
                  <c:v>2723.07</c:v>
                </c:pt>
                <c:pt idx="65">
                  <c:v>2727.72</c:v>
                </c:pt>
                <c:pt idx="66">
                  <c:v>2730.13</c:v>
                </c:pt>
                <c:pt idx="67">
                  <c:v>2711.45</c:v>
                </c:pt>
                <c:pt idx="68">
                  <c:v>2722.46</c:v>
                </c:pt>
                <c:pt idx="69">
                  <c:v>2720.13</c:v>
                </c:pt>
                <c:pt idx="70">
                  <c:v>2712.97</c:v>
                </c:pt>
                <c:pt idx="71">
                  <c:v>2733.01</c:v>
                </c:pt>
                <c:pt idx="72">
                  <c:v>2724.44</c:v>
                </c:pt>
                <c:pt idx="73">
                  <c:v>2733.29</c:v>
                </c:pt>
                <c:pt idx="74">
                  <c:v>2727.76</c:v>
                </c:pt>
                <c:pt idx="75">
                  <c:v>2721.33</c:v>
                </c:pt>
                <c:pt idx="76">
                  <c:v>2721.33</c:v>
                </c:pt>
                <c:pt idx="77">
                  <c:v>2689.86</c:v>
                </c:pt>
                <c:pt idx="78">
                  <c:v>2724.01</c:v>
                </c:pt>
                <c:pt idx="79">
                  <c:v>2705.27</c:v>
                </c:pt>
                <c:pt idx="80">
                  <c:v>2734.62</c:v>
                </c:pt>
                <c:pt idx="81">
                  <c:v>2746.87</c:v>
                </c:pt>
                <c:pt idx="82">
                  <c:v>2748.8</c:v>
                </c:pt>
                <c:pt idx="83">
                  <c:v>2772.35</c:v>
                </c:pt>
                <c:pt idx="84">
                  <c:v>2770.37</c:v>
                </c:pt>
                <c:pt idx="85">
                  <c:v>2779.03</c:v>
                </c:pt>
                <c:pt idx="86">
                  <c:v>2782</c:v>
                </c:pt>
                <c:pt idx="87">
                  <c:v>2786.85</c:v>
                </c:pt>
                <c:pt idx="88">
                  <c:v>2775.63</c:v>
                </c:pt>
                <c:pt idx="89">
                  <c:v>2782.49</c:v>
                </c:pt>
                <c:pt idx="90">
                  <c:v>2779.66</c:v>
                </c:pt>
                <c:pt idx="91">
                  <c:v>2773.75</c:v>
                </c:pt>
                <c:pt idx="92">
                  <c:v>2762.59</c:v>
                </c:pt>
                <c:pt idx="93">
                  <c:v>2767.32</c:v>
                </c:pt>
                <c:pt idx="94">
                  <c:v>2749.76</c:v>
                </c:pt>
                <c:pt idx="95">
                  <c:v>2754.88</c:v>
                </c:pt>
                <c:pt idx="96">
                  <c:v>2717.07</c:v>
                </c:pt>
                <c:pt idx="97">
                  <c:v>2723.06</c:v>
                </c:pt>
                <c:pt idx="98">
                  <c:v>2699.63</c:v>
                </c:pt>
                <c:pt idx="99">
                  <c:v>2716.31</c:v>
                </c:pt>
                <c:pt idx="100">
                  <c:v>2718.37</c:v>
                </c:pt>
                <c:pt idx="101">
                  <c:v>2726.71</c:v>
                </c:pt>
                <c:pt idx="102">
                  <c:v>2713.22</c:v>
                </c:pt>
                <c:pt idx="103">
                  <c:v>2713.22</c:v>
                </c:pt>
                <c:pt idx="104">
                  <c:v>2736.61</c:v>
                </c:pt>
                <c:pt idx="105">
                  <c:v>2759.82</c:v>
                </c:pt>
                <c:pt idx="106">
                  <c:v>2784.17</c:v>
                </c:pt>
                <c:pt idx="107">
                  <c:v>2793.84</c:v>
                </c:pt>
                <c:pt idx="108">
                  <c:v>2774.02</c:v>
                </c:pt>
                <c:pt idx="109">
                  <c:v>2798.29</c:v>
                </c:pt>
                <c:pt idx="110">
                  <c:v>2801.31</c:v>
                </c:pt>
                <c:pt idx="111">
                  <c:v>2798.43</c:v>
                </c:pt>
                <c:pt idx="112">
                  <c:v>2809.55</c:v>
                </c:pt>
                <c:pt idx="113">
                  <c:v>2815.62</c:v>
                </c:pt>
                <c:pt idx="114">
                  <c:v>2804.49</c:v>
                </c:pt>
                <c:pt idx="115">
                  <c:v>2801.83</c:v>
                </c:pt>
                <c:pt idx="116">
                  <c:v>2806.98</c:v>
                </c:pt>
                <c:pt idx="117">
                  <c:v>2820.4</c:v>
                </c:pt>
                <c:pt idx="118">
                  <c:v>2846.07</c:v>
                </c:pt>
                <c:pt idx="119">
                  <c:v>2837.44</c:v>
                </c:pt>
                <c:pt idx="120">
                  <c:v>2818.82</c:v>
                </c:pt>
                <c:pt idx="121">
                  <c:v>2802.6</c:v>
                </c:pt>
                <c:pt idx="122">
                  <c:v>2816.29</c:v>
                </c:pt>
                <c:pt idx="123">
                  <c:v>2813.36</c:v>
                </c:pt>
                <c:pt idx="124">
                  <c:v>2827.22</c:v>
                </c:pt>
                <c:pt idx="125">
                  <c:v>2840.35</c:v>
                </c:pt>
                <c:pt idx="126">
                  <c:v>2850.4</c:v>
                </c:pt>
                <c:pt idx="127">
                  <c:v>2858.45</c:v>
                </c:pt>
                <c:pt idx="128">
                  <c:v>2857.7</c:v>
                </c:pt>
                <c:pt idx="129">
                  <c:v>2853.58</c:v>
                </c:pt>
                <c:pt idx="130">
                  <c:v>2833.28</c:v>
                </c:pt>
                <c:pt idx="131">
                  <c:v>2821.93</c:v>
                </c:pt>
                <c:pt idx="132">
                  <c:v>2839.96</c:v>
                </c:pt>
                <c:pt idx="133">
                  <c:v>2818.37</c:v>
                </c:pt>
                <c:pt idx="134">
                  <c:v>2840.69</c:v>
                </c:pt>
                <c:pt idx="135">
                  <c:v>2850.13</c:v>
                </c:pt>
                <c:pt idx="136">
                  <c:v>2857.05</c:v>
                </c:pt>
                <c:pt idx="137">
                  <c:v>2862.96</c:v>
                </c:pt>
                <c:pt idx="138">
                  <c:v>2861.82</c:v>
                </c:pt>
                <c:pt idx="139">
                  <c:v>2856.98</c:v>
                </c:pt>
                <c:pt idx="140">
                  <c:v>2874.69</c:v>
                </c:pt>
                <c:pt idx="141">
                  <c:v>2896.74</c:v>
                </c:pt>
                <c:pt idx="142">
                  <c:v>2897.52</c:v>
                </c:pt>
                <c:pt idx="143">
                  <c:v>2914.04</c:v>
                </c:pt>
                <c:pt idx="144">
                  <c:v>2901.13</c:v>
                </c:pt>
                <c:pt idx="145">
                  <c:v>2901.52</c:v>
                </c:pt>
                <c:pt idx="146">
                  <c:v>2901.52</c:v>
                </c:pt>
                <c:pt idx="147">
                  <c:v>2896.72</c:v>
                </c:pt>
                <c:pt idx="148">
                  <c:v>2888.6</c:v>
                </c:pt>
                <c:pt idx="149">
                  <c:v>2878.05</c:v>
                </c:pt>
                <c:pt idx="150">
                  <c:v>2871.68</c:v>
                </c:pt>
                <c:pt idx="151">
                  <c:v>2877.13</c:v>
                </c:pt>
                <c:pt idx="152">
                  <c:v>2887.89</c:v>
                </c:pt>
                <c:pt idx="153">
                  <c:v>2888.92</c:v>
                </c:pt>
                <c:pt idx="154">
                  <c:v>2904.18</c:v>
                </c:pt>
                <c:pt idx="155">
                  <c:v>2904.98</c:v>
                </c:pt>
                <c:pt idx="156">
                  <c:v>2888.8</c:v>
                </c:pt>
                <c:pt idx="157">
                  <c:v>2904.31</c:v>
                </c:pt>
                <c:pt idx="158">
                  <c:v>2907.95</c:v>
                </c:pt>
                <c:pt idx="159">
                  <c:v>2930.75</c:v>
                </c:pt>
                <c:pt idx="160">
                  <c:v>2929.67</c:v>
                </c:pt>
                <c:pt idx="161">
                  <c:v>2919.37</c:v>
                </c:pt>
                <c:pt idx="162">
                  <c:v>2915.56</c:v>
                </c:pt>
                <c:pt idx="163">
                  <c:v>2905.97</c:v>
                </c:pt>
                <c:pt idx="164">
                  <c:v>2914</c:v>
                </c:pt>
                <c:pt idx="165">
                  <c:v>2913.98</c:v>
                </c:pt>
                <c:pt idx="166">
                  <c:v>2924.59</c:v>
                </c:pt>
                <c:pt idx="167">
                  <c:v>2923.43</c:v>
                </c:pt>
                <c:pt idx="168">
                  <c:v>2925.51</c:v>
                </c:pt>
                <c:pt idx="169">
                  <c:v>2901.61</c:v>
                </c:pt>
                <c:pt idx="170">
                  <c:v>2885.57</c:v>
                </c:pt>
                <c:pt idx="171">
                  <c:v>2884.43</c:v>
                </c:pt>
                <c:pt idx="172">
                  <c:v>2880.34</c:v>
                </c:pt>
                <c:pt idx="173">
                  <c:v>2785.68</c:v>
                </c:pt>
                <c:pt idx="174">
                  <c:v>2728.37</c:v>
                </c:pt>
                <c:pt idx="175">
                  <c:v>2767.13</c:v>
                </c:pt>
                <c:pt idx="176">
                  <c:v>2750.79</c:v>
                </c:pt>
                <c:pt idx="177">
                  <c:v>2809.92</c:v>
                </c:pt>
                <c:pt idx="178">
                  <c:v>2809.21</c:v>
                </c:pt>
                <c:pt idx="179">
                  <c:v>2768.78</c:v>
                </c:pt>
                <c:pt idx="180">
                  <c:v>2767.78</c:v>
                </c:pt>
                <c:pt idx="181">
                  <c:v>2755.88</c:v>
                </c:pt>
                <c:pt idx="182">
                  <c:v>2740.69</c:v>
                </c:pt>
                <c:pt idx="183">
                  <c:v>2656.1</c:v>
                </c:pt>
                <c:pt idx="184">
                  <c:v>2705.57</c:v>
                </c:pt>
                <c:pt idx="185">
                  <c:v>2658.69</c:v>
                </c:pt>
                <c:pt idx="186">
                  <c:v>2641.25</c:v>
                </c:pt>
                <c:pt idx="187">
                  <c:v>2682.63</c:v>
                </c:pt>
                <c:pt idx="188">
                  <c:v>2711.74</c:v>
                </c:pt>
                <c:pt idx="189">
                  <c:v>2740.37</c:v>
                </c:pt>
                <c:pt idx="190">
                  <c:v>2723.06</c:v>
                </c:pt>
                <c:pt idx="191">
                  <c:v>2738.31</c:v>
                </c:pt>
                <c:pt idx="192">
                  <c:v>2755.45</c:v>
                </c:pt>
                <c:pt idx="193">
                  <c:v>2813.89</c:v>
                </c:pt>
                <c:pt idx="194">
                  <c:v>2806.83</c:v>
                </c:pt>
                <c:pt idx="195">
                  <c:v>2781.01</c:v>
                </c:pt>
                <c:pt idx="196">
                  <c:v>2726.22</c:v>
                </c:pt>
                <c:pt idx="197">
                  <c:v>2722.18</c:v>
                </c:pt>
                <c:pt idx="198">
                  <c:v>2701.58</c:v>
                </c:pt>
                <c:pt idx="199">
                  <c:v>2730.2</c:v>
                </c:pt>
                <c:pt idx="200">
                  <c:v>2736.27</c:v>
                </c:pt>
                <c:pt idx="201">
                  <c:v>2690.73</c:v>
                </c:pt>
                <c:pt idx="202">
                  <c:v>2641.89</c:v>
                </c:pt>
                <c:pt idx="203">
                  <c:v>2649.93</c:v>
                </c:pt>
                <c:pt idx="204">
                  <c:v>2649.93</c:v>
                </c:pt>
                <c:pt idx="205">
                  <c:v>2632.56</c:v>
                </c:pt>
                <c:pt idx="206">
                  <c:v>2673.45</c:v>
                </c:pt>
                <c:pt idx="207">
                  <c:v>2682.17</c:v>
                </c:pt>
                <c:pt idx="208">
                  <c:v>2743.79</c:v>
                </c:pt>
                <c:pt idx="209">
                  <c:v>2737.76</c:v>
                </c:pt>
                <c:pt idx="210">
                  <c:v>2760.17</c:v>
                </c:pt>
                <c:pt idx="211">
                  <c:v>2790.37</c:v>
                </c:pt>
                <c:pt idx="212">
                  <c:v>2700.06</c:v>
                </c:pt>
                <c:pt idx="213">
                  <c:v>2700.06</c:v>
                </c:pt>
                <c:pt idx="214">
                  <c:v>2695.95</c:v>
                </c:pt>
                <c:pt idx="215">
                  <c:v>2633.08</c:v>
                </c:pt>
                <c:pt idx="216">
                  <c:v>2637.72</c:v>
                </c:pt>
                <c:pt idx="217">
                  <c:v>2636.78</c:v>
                </c:pt>
                <c:pt idx="218">
                  <c:v>2651.07</c:v>
                </c:pt>
                <c:pt idx="219">
                  <c:v>2650.54</c:v>
                </c:pt>
                <c:pt idx="220">
                  <c:v>2599.9499999999998</c:v>
                </c:pt>
                <c:pt idx="221">
                  <c:v>2545.94</c:v>
                </c:pt>
                <c:pt idx="222">
                  <c:v>2546.16</c:v>
                </c:pt>
                <c:pt idx="223">
                  <c:v>2506.96</c:v>
                </c:pt>
                <c:pt idx="224">
                  <c:v>2467.42</c:v>
                </c:pt>
                <c:pt idx="225">
                  <c:v>2416.62</c:v>
                </c:pt>
                <c:pt idx="226">
                  <c:v>2351.1</c:v>
                </c:pt>
                <c:pt idx="227">
                  <c:v>2351.1</c:v>
                </c:pt>
                <c:pt idx="228">
                  <c:v>2467.6999999999998</c:v>
                </c:pt>
                <c:pt idx="229">
                  <c:v>2488.83</c:v>
                </c:pt>
                <c:pt idx="230">
                  <c:v>2485.7399999999998</c:v>
                </c:pt>
                <c:pt idx="231">
                  <c:v>2506.85</c:v>
                </c:pt>
                <c:pt idx="232">
                  <c:v>2506.85</c:v>
                </c:pt>
                <c:pt idx="233">
                  <c:v>2510.0300000000002</c:v>
                </c:pt>
                <c:pt idx="234">
                  <c:v>2447.89</c:v>
                </c:pt>
                <c:pt idx="235">
                  <c:v>2531.94</c:v>
                </c:pt>
                <c:pt idx="236">
                  <c:v>2549.69</c:v>
                </c:pt>
                <c:pt idx="237">
                  <c:v>2574.41</c:v>
                </c:pt>
                <c:pt idx="238">
                  <c:v>2584.96</c:v>
                </c:pt>
                <c:pt idx="239">
                  <c:v>2596.64</c:v>
                </c:pt>
                <c:pt idx="240">
                  <c:v>2596.2600000000002</c:v>
                </c:pt>
                <c:pt idx="241">
                  <c:v>2582.61</c:v>
                </c:pt>
                <c:pt idx="242">
                  <c:v>2610.3000000000002</c:v>
                </c:pt>
                <c:pt idx="243">
                  <c:v>2616.1</c:v>
                </c:pt>
                <c:pt idx="244">
                  <c:v>2635.96</c:v>
                </c:pt>
                <c:pt idx="245">
                  <c:v>2670.71</c:v>
                </c:pt>
                <c:pt idx="246">
                  <c:v>2670.71</c:v>
                </c:pt>
                <c:pt idx="247">
                  <c:v>2632.9</c:v>
                </c:pt>
                <c:pt idx="248">
                  <c:v>2638.7</c:v>
                </c:pt>
                <c:pt idx="249">
                  <c:v>2642.33</c:v>
                </c:pt>
                <c:pt idx="250">
                  <c:v>2664.76</c:v>
                </c:pt>
                <c:pt idx="251">
                  <c:v>2643.85</c:v>
                </c:pt>
                <c:pt idx="252">
                  <c:v>2640</c:v>
                </c:pt>
                <c:pt idx="253">
                  <c:v>2681.05</c:v>
                </c:pt>
                <c:pt idx="254">
                  <c:v>2704.1</c:v>
                </c:pt>
                <c:pt idx="255">
                  <c:v>2706.53</c:v>
                </c:pt>
                <c:pt idx="256">
                  <c:v>2724.87</c:v>
                </c:pt>
                <c:pt idx="257">
                  <c:v>2737.7</c:v>
                </c:pt>
                <c:pt idx="258">
                  <c:v>2731.61</c:v>
                </c:pt>
                <c:pt idx="259">
                  <c:v>2706.05</c:v>
                </c:pt>
                <c:pt idx="260">
                  <c:v>2707.88</c:v>
                </c:pt>
                <c:pt idx="261">
                  <c:v>2709.8</c:v>
                </c:pt>
                <c:pt idx="262">
                  <c:v>2744.73</c:v>
                </c:pt>
                <c:pt idx="263">
                  <c:v>2753.03</c:v>
                </c:pt>
                <c:pt idx="264">
                  <c:v>2745.73</c:v>
                </c:pt>
                <c:pt idx="265">
                  <c:v>2775.6</c:v>
                </c:pt>
                <c:pt idx="266">
                  <c:v>2775.6</c:v>
                </c:pt>
                <c:pt idx="267">
                  <c:v>2779.76</c:v>
                </c:pt>
                <c:pt idx="268">
                  <c:v>2784.7</c:v>
                </c:pt>
                <c:pt idx="269">
                  <c:v>2774.88</c:v>
                </c:pt>
                <c:pt idx="270">
                  <c:v>2792.67</c:v>
                </c:pt>
                <c:pt idx="271">
                  <c:v>2796.11</c:v>
                </c:pt>
                <c:pt idx="272">
                  <c:v>2793.9</c:v>
                </c:pt>
                <c:pt idx="273">
                  <c:v>2792.38</c:v>
                </c:pt>
                <c:pt idx="274">
                  <c:v>2784.49</c:v>
                </c:pt>
                <c:pt idx="275">
                  <c:v>2803.69</c:v>
                </c:pt>
                <c:pt idx="276">
                  <c:v>2792.81</c:v>
                </c:pt>
                <c:pt idx="277">
                  <c:v>2789.65</c:v>
                </c:pt>
                <c:pt idx="278">
                  <c:v>2771.45</c:v>
                </c:pt>
                <c:pt idx="279">
                  <c:v>2748.93</c:v>
                </c:pt>
                <c:pt idx="280">
                  <c:v>2743.07</c:v>
                </c:pt>
                <c:pt idx="281">
                  <c:v>2783.3</c:v>
                </c:pt>
                <c:pt idx="282">
                  <c:v>2791.52</c:v>
                </c:pt>
                <c:pt idx="283">
                  <c:v>2810.92</c:v>
                </c:pt>
                <c:pt idx="284">
                  <c:v>2808.48</c:v>
                </c:pt>
                <c:pt idx="285">
                  <c:v>2822.48</c:v>
                </c:pt>
                <c:pt idx="286">
                  <c:v>2832.94</c:v>
                </c:pt>
                <c:pt idx="287">
                  <c:v>2832.57</c:v>
                </c:pt>
                <c:pt idx="288">
                  <c:v>2824.23</c:v>
                </c:pt>
                <c:pt idx="289">
                  <c:v>2854.88</c:v>
                </c:pt>
                <c:pt idx="290">
                  <c:v>2800.71</c:v>
                </c:pt>
                <c:pt idx="291">
                  <c:v>2798.36</c:v>
                </c:pt>
                <c:pt idx="292">
                  <c:v>2818.46</c:v>
                </c:pt>
                <c:pt idx="293">
                  <c:v>2805.37</c:v>
                </c:pt>
                <c:pt idx="294">
                  <c:v>2815.44</c:v>
                </c:pt>
                <c:pt idx="295">
                  <c:v>2834.4</c:v>
                </c:pt>
                <c:pt idx="296">
                  <c:v>2867.19</c:v>
                </c:pt>
                <c:pt idx="297">
                  <c:v>2867.24</c:v>
                </c:pt>
                <c:pt idx="298">
                  <c:v>2873.4</c:v>
                </c:pt>
                <c:pt idx="299">
                  <c:v>2879.39</c:v>
                </c:pt>
                <c:pt idx="300">
                  <c:v>2892.74</c:v>
                </c:pt>
                <c:pt idx="301">
                  <c:v>2895.77</c:v>
                </c:pt>
                <c:pt idx="302">
                  <c:v>2878.2</c:v>
                </c:pt>
                <c:pt idx="303">
                  <c:v>2888.21</c:v>
                </c:pt>
                <c:pt idx="304">
                  <c:v>2888.32</c:v>
                </c:pt>
                <c:pt idx="305">
                  <c:v>2907.41</c:v>
                </c:pt>
                <c:pt idx="306">
                  <c:v>2905.58</c:v>
                </c:pt>
                <c:pt idx="307">
                  <c:v>2907.06</c:v>
                </c:pt>
                <c:pt idx="308">
                  <c:v>2900.45</c:v>
                </c:pt>
                <c:pt idx="309">
                  <c:v>2905.03</c:v>
                </c:pt>
                <c:pt idx="310">
                  <c:v>2905.03</c:v>
                </c:pt>
                <c:pt idx="311">
                  <c:v>2907.97</c:v>
                </c:pt>
                <c:pt idx="312">
                  <c:v>2933.68</c:v>
                </c:pt>
                <c:pt idx="313">
                  <c:v>2927.25</c:v>
                </c:pt>
                <c:pt idx="314">
                  <c:v>2926.17</c:v>
                </c:pt>
                <c:pt idx="315">
                  <c:v>2939.88</c:v>
                </c:pt>
                <c:pt idx="316">
                  <c:v>2943.03</c:v>
                </c:pt>
                <c:pt idx="317">
                  <c:v>2945.83</c:v>
                </c:pt>
                <c:pt idx="318">
                  <c:v>2923.73</c:v>
                </c:pt>
                <c:pt idx="319">
                  <c:v>2917.52</c:v>
                </c:pt>
                <c:pt idx="320">
                  <c:v>2945.64</c:v>
                </c:pt>
                <c:pt idx="321">
                  <c:v>2932.47</c:v>
                </c:pt>
                <c:pt idx="322">
                  <c:v>2884.05</c:v>
                </c:pt>
                <c:pt idx="323">
                  <c:v>2879.42</c:v>
                </c:pt>
                <c:pt idx="324">
                  <c:v>2870.72</c:v>
                </c:pt>
                <c:pt idx="325">
                  <c:v>2881.4</c:v>
                </c:pt>
                <c:pt idx="326">
                  <c:v>2811.87</c:v>
                </c:pt>
                <c:pt idx="327">
                  <c:v>2834.41</c:v>
                </c:pt>
                <c:pt idx="328">
                  <c:v>2850.96</c:v>
                </c:pt>
                <c:pt idx="329">
                  <c:v>2876.32</c:v>
                </c:pt>
                <c:pt idx="330">
                  <c:v>2859.53</c:v>
                </c:pt>
                <c:pt idx="331">
                  <c:v>2840.23</c:v>
                </c:pt>
                <c:pt idx="332">
                  <c:v>2864.36</c:v>
                </c:pt>
                <c:pt idx="333">
                  <c:v>2856.27</c:v>
                </c:pt>
                <c:pt idx="334">
                  <c:v>2822.24</c:v>
                </c:pt>
                <c:pt idx="335">
                  <c:v>2826.06</c:v>
                </c:pt>
                <c:pt idx="336">
                  <c:v>2826.06</c:v>
                </c:pt>
                <c:pt idx="337">
                  <c:v>2802.39</c:v>
                </c:pt>
                <c:pt idx="338">
                  <c:v>2783.02</c:v>
                </c:pt>
                <c:pt idx="339">
                  <c:v>2788.86</c:v>
                </c:pt>
                <c:pt idx="340">
                  <c:v>2752.06</c:v>
                </c:pt>
                <c:pt idx="341">
                  <c:v>2744.45</c:v>
                </c:pt>
                <c:pt idx="342">
                  <c:v>2803.27</c:v>
                </c:pt>
                <c:pt idx="343">
                  <c:v>2826.15</c:v>
                </c:pt>
                <c:pt idx="344">
                  <c:v>2843.49</c:v>
                </c:pt>
                <c:pt idx="345">
                  <c:v>2873.34</c:v>
                </c:pt>
                <c:pt idx="346">
                  <c:v>2886.73</c:v>
                </c:pt>
                <c:pt idx="347">
                  <c:v>2885.72</c:v>
                </c:pt>
                <c:pt idx="348">
                  <c:v>2879.84</c:v>
                </c:pt>
                <c:pt idx="349">
                  <c:v>2891.64</c:v>
                </c:pt>
                <c:pt idx="350">
                  <c:v>2886.98</c:v>
                </c:pt>
                <c:pt idx="351">
                  <c:v>2889.67</c:v>
                </c:pt>
                <c:pt idx="352">
                  <c:v>2917.75</c:v>
                </c:pt>
                <c:pt idx="353">
                  <c:v>2926.46</c:v>
                </c:pt>
                <c:pt idx="354">
                  <c:v>2954.18</c:v>
                </c:pt>
                <c:pt idx="355">
                  <c:v>2950.46</c:v>
                </c:pt>
                <c:pt idx="356">
                  <c:v>2945.35</c:v>
                </c:pt>
                <c:pt idx="357">
                  <c:v>2917.38</c:v>
                </c:pt>
                <c:pt idx="358">
                  <c:v>2913.78</c:v>
                </c:pt>
                <c:pt idx="359">
                  <c:v>2924.92</c:v>
                </c:pt>
                <c:pt idx="360">
                  <c:v>2941.76</c:v>
                </c:pt>
                <c:pt idx="361">
                  <c:v>2964.33</c:v>
                </c:pt>
                <c:pt idx="362">
                  <c:v>2973.01</c:v>
                </c:pt>
                <c:pt idx="363">
                  <c:v>2995.82</c:v>
                </c:pt>
                <c:pt idx="364">
                  <c:v>2995.82</c:v>
                </c:pt>
                <c:pt idx="365">
                  <c:v>2990.41</c:v>
                </c:pt>
                <c:pt idx="366">
                  <c:v>2975.95</c:v>
                </c:pt>
                <c:pt idx="367">
                  <c:v>2979.63</c:v>
                </c:pt>
                <c:pt idx="368">
                  <c:v>2993.07</c:v>
                </c:pt>
                <c:pt idx="369">
                  <c:v>2999.91</c:v>
                </c:pt>
                <c:pt idx="370">
                  <c:v>3013.77</c:v>
                </c:pt>
                <c:pt idx="371">
                  <c:v>3014.3</c:v>
                </c:pt>
                <c:pt idx="372">
                  <c:v>3004.04</c:v>
                </c:pt>
                <c:pt idx="373">
                  <c:v>2984.42</c:v>
                </c:pt>
                <c:pt idx="374">
                  <c:v>2995.11</c:v>
                </c:pt>
                <c:pt idx="375">
                  <c:v>2976.61</c:v>
                </c:pt>
                <c:pt idx="376">
                  <c:v>2985.03</c:v>
                </c:pt>
                <c:pt idx="377">
                  <c:v>3005.47</c:v>
                </c:pt>
                <c:pt idx="378">
                  <c:v>3019.56</c:v>
                </c:pt>
                <c:pt idx="379">
                  <c:v>3003.67</c:v>
                </c:pt>
                <c:pt idx="380">
                  <c:v>3025.86</c:v>
                </c:pt>
                <c:pt idx="381">
                  <c:v>3020.97</c:v>
                </c:pt>
                <c:pt idx="382">
                  <c:v>3013.18</c:v>
                </c:pt>
                <c:pt idx="383">
                  <c:v>2980.38</c:v>
                </c:pt>
                <c:pt idx="384">
                  <c:v>2953.56</c:v>
                </c:pt>
                <c:pt idx="385">
                  <c:v>2932.05</c:v>
                </c:pt>
                <c:pt idx="386">
                  <c:v>2844.74</c:v>
                </c:pt>
                <c:pt idx="387">
                  <c:v>2881.77</c:v>
                </c:pt>
                <c:pt idx="388">
                  <c:v>2883.98</c:v>
                </c:pt>
                <c:pt idx="389">
                  <c:v>2938.09</c:v>
                </c:pt>
                <c:pt idx="390">
                  <c:v>2918.65</c:v>
                </c:pt>
                <c:pt idx="391">
                  <c:v>2883.75</c:v>
                </c:pt>
                <c:pt idx="392">
                  <c:v>2926.32</c:v>
                </c:pt>
                <c:pt idx="393">
                  <c:v>2840.6</c:v>
                </c:pt>
                <c:pt idx="394">
                  <c:v>2847.6</c:v>
                </c:pt>
                <c:pt idx="395">
                  <c:v>2888.68</c:v>
                </c:pt>
                <c:pt idx="396">
                  <c:v>2923.65</c:v>
                </c:pt>
                <c:pt idx="397">
                  <c:v>2900.51</c:v>
                </c:pt>
                <c:pt idx="398">
                  <c:v>2924.43</c:v>
                </c:pt>
                <c:pt idx="399">
                  <c:v>2922.95</c:v>
                </c:pt>
                <c:pt idx="400">
                  <c:v>2847.11</c:v>
                </c:pt>
                <c:pt idx="401">
                  <c:v>2878.38</c:v>
                </c:pt>
                <c:pt idx="402">
                  <c:v>2869.16</c:v>
                </c:pt>
                <c:pt idx="403">
                  <c:v>2887.94</c:v>
                </c:pt>
                <c:pt idx="404">
                  <c:v>2924.58</c:v>
                </c:pt>
                <c:pt idx="405">
                  <c:v>2926.46</c:v>
                </c:pt>
                <c:pt idx="406">
                  <c:v>2926.46</c:v>
                </c:pt>
                <c:pt idx="407">
                  <c:v>2906.27</c:v>
                </c:pt>
                <c:pt idx="408">
                  <c:v>2937.78</c:v>
                </c:pt>
                <c:pt idx="409">
                  <c:v>2976</c:v>
                </c:pt>
                <c:pt idx="410">
                  <c:v>2978.71</c:v>
                </c:pt>
                <c:pt idx="411">
                  <c:v>2978.43</c:v>
                </c:pt>
                <c:pt idx="412">
                  <c:v>2979.39</c:v>
                </c:pt>
                <c:pt idx="413">
                  <c:v>3000.93</c:v>
                </c:pt>
                <c:pt idx="414">
                  <c:v>3009.57</c:v>
                </c:pt>
                <c:pt idx="415">
                  <c:v>3007.39</c:v>
                </c:pt>
                <c:pt idx="416">
                  <c:v>2997.96</c:v>
                </c:pt>
                <c:pt idx="417">
                  <c:v>3005.7</c:v>
                </c:pt>
                <c:pt idx="418">
                  <c:v>3006.73</c:v>
                </c:pt>
                <c:pt idx="419">
                  <c:v>3006.79</c:v>
                </c:pt>
                <c:pt idx="420">
                  <c:v>2992.07</c:v>
                </c:pt>
                <c:pt idx="421">
                  <c:v>2991.78</c:v>
                </c:pt>
                <c:pt idx="422">
                  <c:v>2966.6</c:v>
                </c:pt>
                <c:pt idx="423">
                  <c:v>2984.87</c:v>
                </c:pt>
                <c:pt idx="424">
                  <c:v>2977.62</c:v>
                </c:pt>
                <c:pt idx="425">
                  <c:v>2961.79</c:v>
                </c:pt>
                <c:pt idx="426">
                  <c:v>2976.74</c:v>
                </c:pt>
                <c:pt idx="427">
                  <c:v>2940.25</c:v>
                </c:pt>
                <c:pt idx="428">
                  <c:v>2887.61</c:v>
                </c:pt>
                <c:pt idx="429">
                  <c:v>2910.63</c:v>
                </c:pt>
                <c:pt idx="430">
                  <c:v>2952.01</c:v>
                </c:pt>
                <c:pt idx="431">
                  <c:v>2938.79</c:v>
                </c:pt>
                <c:pt idx="432">
                  <c:v>2893.06</c:v>
                </c:pt>
                <c:pt idx="433">
                  <c:v>2919.4</c:v>
                </c:pt>
                <c:pt idx="434">
                  <c:v>2938.13</c:v>
                </c:pt>
                <c:pt idx="435">
                  <c:v>2970.27</c:v>
                </c:pt>
                <c:pt idx="436">
                  <c:v>2966.15</c:v>
                </c:pt>
                <c:pt idx="437">
                  <c:v>2995.68</c:v>
                </c:pt>
                <c:pt idx="438">
                  <c:v>2989.69</c:v>
                </c:pt>
                <c:pt idx="439">
                  <c:v>2997.95</c:v>
                </c:pt>
                <c:pt idx="440">
                  <c:v>2986.2</c:v>
                </c:pt>
                <c:pt idx="441">
                  <c:v>3006.72</c:v>
                </c:pt>
                <c:pt idx="442">
                  <c:v>2995.99</c:v>
                </c:pt>
                <c:pt idx="443">
                  <c:v>3004.52</c:v>
                </c:pt>
                <c:pt idx="444">
                  <c:v>3010.29</c:v>
                </c:pt>
                <c:pt idx="445">
                  <c:v>3022.55</c:v>
                </c:pt>
                <c:pt idx="446">
                  <c:v>3039.42</c:v>
                </c:pt>
                <c:pt idx="447">
                  <c:v>3036.89</c:v>
                </c:pt>
                <c:pt idx="448">
                  <c:v>3046.77</c:v>
                </c:pt>
                <c:pt idx="449">
                  <c:v>3037.56</c:v>
                </c:pt>
                <c:pt idx="450">
                  <c:v>3066.91</c:v>
                </c:pt>
                <c:pt idx="451">
                  <c:v>3078.27</c:v>
                </c:pt>
                <c:pt idx="452">
                  <c:v>3074.62</c:v>
                </c:pt>
                <c:pt idx="453">
                  <c:v>3076.78</c:v>
                </c:pt>
                <c:pt idx="454">
                  <c:v>3085.18</c:v>
                </c:pt>
                <c:pt idx="455">
                  <c:v>3093.08</c:v>
                </c:pt>
                <c:pt idx="456">
                  <c:v>3087.01</c:v>
                </c:pt>
                <c:pt idx="457">
                  <c:v>3091.84</c:v>
                </c:pt>
                <c:pt idx="458">
                  <c:v>3094.04</c:v>
                </c:pt>
                <c:pt idx="459">
                  <c:v>3096.63</c:v>
                </c:pt>
                <c:pt idx="460">
                  <c:v>3120.46</c:v>
                </c:pt>
                <c:pt idx="461">
                  <c:v>3122.03</c:v>
                </c:pt>
                <c:pt idx="462">
                  <c:v>3120.18</c:v>
                </c:pt>
                <c:pt idx="463">
                  <c:v>3108.46</c:v>
                </c:pt>
                <c:pt idx="464">
                  <c:v>3103.54</c:v>
                </c:pt>
                <c:pt idx="465">
                  <c:v>3110.29</c:v>
                </c:pt>
                <c:pt idx="466">
                  <c:v>3133.64</c:v>
                </c:pt>
                <c:pt idx="467">
                  <c:v>3140.52</c:v>
                </c:pt>
                <c:pt idx="468">
                  <c:v>3153.63</c:v>
                </c:pt>
                <c:pt idx="469">
                  <c:v>3153.63</c:v>
                </c:pt>
                <c:pt idx="470">
                  <c:v>3140.98</c:v>
                </c:pt>
                <c:pt idx="471">
                  <c:v>3113.87</c:v>
                </c:pt>
                <c:pt idx="472">
                  <c:v>3093.2</c:v>
                </c:pt>
                <c:pt idx="473">
                  <c:v>3112.76</c:v>
                </c:pt>
                <c:pt idx="474">
                  <c:v>3117.43</c:v>
                </c:pt>
                <c:pt idx="475">
                  <c:v>3145.91</c:v>
                </c:pt>
                <c:pt idx="476">
                  <c:v>3135.96</c:v>
                </c:pt>
                <c:pt idx="477">
                  <c:v>3132.52</c:v>
                </c:pt>
                <c:pt idx="478">
                  <c:v>3141.63</c:v>
                </c:pt>
                <c:pt idx="479">
                  <c:v>3168.57</c:v>
                </c:pt>
                <c:pt idx="480">
                  <c:v>3168.8</c:v>
                </c:pt>
                <c:pt idx="481">
                  <c:v>3191.45</c:v>
                </c:pt>
                <c:pt idx="482">
                  <c:v>3192.52</c:v>
                </c:pt>
                <c:pt idx="483">
                  <c:v>3191.14</c:v>
                </c:pt>
                <c:pt idx="484">
                  <c:v>3205.37</c:v>
                </c:pt>
                <c:pt idx="485">
                  <c:v>3221.22</c:v>
                </c:pt>
                <c:pt idx="486">
                  <c:v>3224.01</c:v>
                </c:pt>
                <c:pt idx="487">
                  <c:v>3223.38</c:v>
                </c:pt>
                <c:pt idx="488">
                  <c:v>3223.38</c:v>
                </c:pt>
                <c:pt idx="489">
                  <c:v>3239.91</c:v>
                </c:pt>
                <c:pt idx="490">
                  <c:v>3240.02</c:v>
                </c:pt>
                <c:pt idx="491">
                  <c:v>3221.29</c:v>
                </c:pt>
                <c:pt idx="492">
                  <c:v>3230.78</c:v>
                </c:pt>
                <c:pt idx="493">
                  <c:v>3230.78</c:v>
                </c:pt>
                <c:pt idx="494">
                  <c:v>3257.85</c:v>
                </c:pt>
                <c:pt idx="495">
                  <c:v>3234.85</c:v>
                </c:pt>
                <c:pt idx="496">
                  <c:v>3246.28</c:v>
                </c:pt>
                <c:pt idx="497">
                  <c:v>3237.18</c:v>
                </c:pt>
                <c:pt idx="498">
                  <c:v>3253.05</c:v>
                </c:pt>
                <c:pt idx="499">
                  <c:v>3274.7</c:v>
                </c:pt>
                <c:pt idx="500">
                  <c:v>3265.35</c:v>
                </c:pt>
                <c:pt idx="501">
                  <c:v>3288.13</c:v>
                </c:pt>
                <c:pt idx="502">
                  <c:v>3283.15</c:v>
                </c:pt>
                <c:pt idx="503">
                  <c:v>3289.29</c:v>
                </c:pt>
                <c:pt idx="504">
                  <c:v>3316.81</c:v>
                </c:pt>
                <c:pt idx="505">
                  <c:v>3329.62</c:v>
                </c:pt>
                <c:pt idx="506">
                  <c:v>3329.62</c:v>
                </c:pt>
                <c:pt idx="507">
                  <c:v>3320.79</c:v>
                </c:pt>
                <c:pt idx="508">
                  <c:v>3321.75</c:v>
                </c:pt>
                <c:pt idx="509">
                  <c:v>3325.54</c:v>
                </c:pt>
                <c:pt idx="510">
                  <c:v>3295.47</c:v>
                </c:pt>
                <c:pt idx="511">
                  <c:v>3243.63</c:v>
                </c:pt>
                <c:pt idx="512">
                  <c:v>3276.24</c:v>
                </c:pt>
                <c:pt idx="513">
                  <c:v>3273.4</c:v>
                </c:pt>
                <c:pt idx="514">
                  <c:v>3283.66</c:v>
                </c:pt>
                <c:pt idx="515">
                  <c:v>3225.52</c:v>
                </c:pt>
                <c:pt idx="516">
                  <c:v>3248.92</c:v>
                </c:pt>
                <c:pt idx="517">
                  <c:v>3297.59</c:v>
                </c:pt>
                <c:pt idx="518">
                  <c:v>3334.69</c:v>
                </c:pt>
                <c:pt idx="519">
                  <c:v>3345.78</c:v>
                </c:pt>
                <c:pt idx="520">
                  <c:v>3327.71</c:v>
                </c:pt>
                <c:pt idx="521">
                  <c:v>3352.09</c:v>
                </c:pt>
                <c:pt idx="522">
                  <c:v>3357.75</c:v>
                </c:pt>
                <c:pt idx="523">
                  <c:v>3379.45</c:v>
                </c:pt>
                <c:pt idx="524">
                  <c:v>3373.94</c:v>
                </c:pt>
                <c:pt idx="525">
                  <c:v>3380.16</c:v>
                </c:pt>
                <c:pt idx="526">
                  <c:v>3380.16</c:v>
                </c:pt>
                <c:pt idx="527">
                  <c:v>3370.29</c:v>
                </c:pt>
                <c:pt idx="528">
                  <c:v>3386.15</c:v>
                </c:pt>
                <c:pt idx="529">
                  <c:v>3373.23</c:v>
                </c:pt>
                <c:pt idx="530">
                  <c:v>3337.75</c:v>
                </c:pt>
                <c:pt idx="531">
                  <c:v>3225.89</c:v>
                </c:pt>
                <c:pt idx="532">
                  <c:v>3128.21</c:v>
                </c:pt>
                <c:pt idx="533">
                  <c:v>3116.39</c:v>
                </c:pt>
                <c:pt idx="534">
                  <c:v>2978.76</c:v>
                </c:pt>
                <c:pt idx="535">
                  <c:v>2954.22</c:v>
                </c:pt>
                <c:pt idx="536">
                  <c:v>3090.23</c:v>
                </c:pt>
                <c:pt idx="537">
                  <c:v>3003.37</c:v>
                </c:pt>
                <c:pt idx="538">
                  <c:v>3130.12</c:v>
                </c:pt>
                <c:pt idx="539">
                  <c:v>3023.94</c:v>
                </c:pt>
                <c:pt idx="540">
                  <c:v>2972.37</c:v>
                </c:pt>
                <c:pt idx="541">
                  <c:v>2746.56</c:v>
                </c:pt>
                <c:pt idx="542">
                  <c:v>2882.23</c:v>
                </c:pt>
                <c:pt idx="543">
                  <c:v>2741.38</c:v>
                </c:pt>
                <c:pt idx="544">
                  <c:v>2480.64</c:v>
                </c:pt>
                <c:pt idx="545">
                  <c:v>2711.02</c:v>
                </c:pt>
                <c:pt idx="546">
                  <c:v>2386.13</c:v>
                </c:pt>
                <c:pt idx="547">
                  <c:v>2529.19</c:v>
                </c:pt>
                <c:pt idx="548">
                  <c:v>2398.1</c:v>
                </c:pt>
                <c:pt idx="549">
                  <c:v>2409.39</c:v>
                </c:pt>
                <c:pt idx="550">
                  <c:v>2304.92</c:v>
                </c:pt>
                <c:pt idx="551">
                  <c:v>2237.4</c:v>
                </c:pt>
                <c:pt idx="552">
                  <c:v>2447.33</c:v>
                </c:pt>
                <c:pt idx="553">
                  <c:v>2475.56</c:v>
                </c:pt>
                <c:pt idx="554">
                  <c:v>2630.07</c:v>
                </c:pt>
                <c:pt idx="555">
                  <c:v>2541.4699999999998</c:v>
                </c:pt>
                <c:pt idx="556">
                  <c:v>2626.65</c:v>
                </c:pt>
                <c:pt idx="557">
                  <c:v>2584.59</c:v>
                </c:pt>
                <c:pt idx="558">
                  <c:v>2470.5</c:v>
                </c:pt>
                <c:pt idx="559">
                  <c:v>2526.9</c:v>
                </c:pt>
                <c:pt idx="560">
                  <c:v>2488.65</c:v>
                </c:pt>
                <c:pt idx="561">
                  <c:v>2663.68</c:v>
                </c:pt>
                <c:pt idx="562">
                  <c:v>2659.41</c:v>
                </c:pt>
                <c:pt idx="563">
                  <c:v>2749.98</c:v>
                </c:pt>
                <c:pt idx="564">
                  <c:v>2789.82</c:v>
                </c:pt>
                <c:pt idx="565">
                  <c:v>2789.82</c:v>
                </c:pt>
                <c:pt idx="566">
                  <c:v>2761.63</c:v>
                </c:pt>
                <c:pt idx="567">
                  <c:v>2846.06</c:v>
                </c:pt>
                <c:pt idx="568">
                  <c:v>2783.36</c:v>
                </c:pt>
                <c:pt idx="569">
                  <c:v>2799.55</c:v>
                </c:pt>
                <c:pt idx="570">
                  <c:v>2874.56</c:v>
                </c:pt>
                <c:pt idx="571">
                  <c:v>2823.16</c:v>
                </c:pt>
                <c:pt idx="572">
                  <c:v>2736.56</c:v>
                </c:pt>
                <c:pt idx="573">
                  <c:v>2799.31</c:v>
                </c:pt>
                <c:pt idx="574">
                  <c:v>2797.8</c:v>
                </c:pt>
                <c:pt idx="575">
                  <c:v>2836.74</c:v>
                </c:pt>
                <c:pt idx="576">
                  <c:v>2878.48</c:v>
                </c:pt>
                <c:pt idx="577">
                  <c:v>2863.39</c:v>
                </c:pt>
                <c:pt idx="578">
                  <c:v>2939.51</c:v>
                </c:pt>
                <c:pt idx="579">
                  <c:v>2912.43</c:v>
                </c:pt>
                <c:pt idx="580">
                  <c:v>2830.71</c:v>
                </c:pt>
                <c:pt idx="581">
                  <c:v>2842.74</c:v>
                </c:pt>
                <c:pt idx="582">
                  <c:v>2868.44</c:v>
                </c:pt>
                <c:pt idx="583">
                  <c:v>2848.42</c:v>
                </c:pt>
                <c:pt idx="584">
                  <c:v>2881.19</c:v>
                </c:pt>
                <c:pt idx="585">
                  <c:v>2929.8</c:v>
                </c:pt>
                <c:pt idx="586">
                  <c:v>2930.32</c:v>
                </c:pt>
                <c:pt idx="587">
                  <c:v>2870.12</c:v>
                </c:pt>
                <c:pt idx="588">
                  <c:v>2820</c:v>
                </c:pt>
                <c:pt idx="589">
                  <c:v>2852.5</c:v>
                </c:pt>
                <c:pt idx="590">
                  <c:v>2863.7</c:v>
                </c:pt>
                <c:pt idx="591">
                  <c:v>2953.91</c:v>
                </c:pt>
                <c:pt idx="592">
                  <c:v>2922.94</c:v>
                </c:pt>
                <c:pt idx="593">
                  <c:v>2971.61</c:v>
                </c:pt>
                <c:pt idx="594">
                  <c:v>2948.51</c:v>
                </c:pt>
                <c:pt idx="595">
                  <c:v>2955.45</c:v>
                </c:pt>
                <c:pt idx="596">
                  <c:v>2955.45</c:v>
                </c:pt>
                <c:pt idx="597">
                  <c:v>2991.77</c:v>
                </c:pt>
                <c:pt idx="598">
                  <c:v>3036.13</c:v>
                </c:pt>
                <c:pt idx="599">
                  <c:v>3029.73</c:v>
                </c:pt>
                <c:pt idx="600">
                  <c:v>3044.31</c:v>
                </c:pt>
                <c:pt idx="601">
                  <c:v>3055.73</c:v>
                </c:pt>
                <c:pt idx="602">
                  <c:v>3080.82</c:v>
                </c:pt>
                <c:pt idx="603">
                  <c:v>3122.87</c:v>
                </c:pt>
                <c:pt idx="604">
                  <c:v>3112.35</c:v>
                </c:pt>
                <c:pt idx="605">
                  <c:v>3193.93</c:v>
                </c:pt>
                <c:pt idx="606">
                  <c:v>3232.39</c:v>
                </c:pt>
                <c:pt idx="607">
                  <c:v>3207.18</c:v>
                </c:pt>
                <c:pt idx="608">
                  <c:v>3190.14</c:v>
                </c:pt>
                <c:pt idx="609">
                  <c:v>3002.1</c:v>
                </c:pt>
                <c:pt idx="610">
                  <c:v>3041.31</c:v>
                </c:pt>
                <c:pt idx="611">
                  <c:v>3066.59</c:v>
                </c:pt>
                <c:pt idx="612">
                  <c:v>3124.74</c:v>
                </c:pt>
                <c:pt idx="613">
                  <c:v>3113.49</c:v>
                </c:pt>
                <c:pt idx="614">
                  <c:v>3115.34</c:v>
                </c:pt>
                <c:pt idx="615">
                  <c:v>3097.74</c:v>
                </c:pt>
                <c:pt idx="616">
                  <c:v>3117.86</c:v>
                </c:pt>
                <c:pt idx="617">
                  <c:v>3131.29</c:v>
                </c:pt>
                <c:pt idx="618">
                  <c:v>3050.33</c:v>
                </c:pt>
                <c:pt idx="619">
                  <c:v>3083.76</c:v>
                </c:pt>
                <c:pt idx="620">
                  <c:v>3009.05</c:v>
                </c:pt>
                <c:pt idx="621">
                  <c:v>3053.24</c:v>
                </c:pt>
                <c:pt idx="622">
                  <c:v>3100.29</c:v>
                </c:pt>
                <c:pt idx="623">
                  <c:v>3115.86</c:v>
                </c:pt>
                <c:pt idx="624">
                  <c:v>3130.01</c:v>
                </c:pt>
                <c:pt idx="625">
                  <c:v>3130.01</c:v>
                </c:pt>
                <c:pt idx="626">
                  <c:v>3179.72</c:v>
                </c:pt>
                <c:pt idx="627">
                  <c:v>3145.32</c:v>
                </c:pt>
                <c:pt idx="628">
                  <c:v>3169.94</c:v>
                </c:pt>
                <c:pt idx="629">
                  <c:v>3152.05</c:v>
                </c:pt>
                <c:pt idx="630">
                  <c:v>3185.04</c:v>
                </c:pt>
                <c:pt idx="631">
                  <c:v>3155.22</c:v>
                </c:pt>
                <c:pt idx="632">
                  <c:v>3197.52</c:v>
                </c:pt>
                <c:pt idx="633">
                  <c:v>3226.56</c:v>
                </c:pt>
                <c:pt idx="634">
                  <c:v>3215.57</c:v>
                </c:pt>
                <c:pt idx="635">
                  <c:v>3224.73</c:v>
                </c:pt>
                <c:pt idx="636">
                  <c:v>3251.84</c:v>
                </c:pt>
                <c:pt idx="637">
                  <c:v>3257.3</c:v>
                </c:pt>
                <c:pt idx="638">
                  <c:v>3276.02</c:v>
                </c:pt>
                <c:pt idx="639">
                  <c:v>3235.66</c:v>
                </c:pt>
                <c:pt idx="640">
                  <c:v>3215.63</c:v>
                </c:pt>
                <c:pt idx="641">
                  <c:v>3239.41</c:v>
                </c:pt>
                <c:pt idx="642">
                  <c:v>3218.44</c:v>
                </c:pt>
                <c:pt idx="643">
                  <c:v>3258.44</c:v>
                </c:pt>
                <c:pt idx="644">
                  <c:v>3246.22</c:v>
                </c:pt>
                <c:pt idx="645">
                  <c:v>3271.12</c:v>
                </c:pt>
                <c:pt idx="646">
                  <c:v>3294.61</c:v>
                </c:pt>
                <c:pt idx="647">
                  <c:v>3306.51</c:v>
                </c:pt>
                <c:pt idx="648">
                  <c:v>3327.77</c:v>
                </c:pt>
                <c:pt idx="649">
                  <c:v>3349.16</c:v>
                </c:pt>
                <c:pt idx="650">
                  <c:v>3351.28</c:v>
                </c:pt>
                <c:pt idx="651">
                  <c:v>3360.47</c:v>
                </c:pt>
                <c:pt idx="652">
                  <c:v>3333.69</c:v>
                </c:pt>
                <c:pt idx="653">
                  <c:v>3380.35</c:v>
                </c:pt>
                <c:pt idx="654">
                  <c:v>3373.43</c:v>
                </c:pt>
                <c:pt idx="655">
                  <c:v>3372.85</c:v>
                </c:pt>
                <c:pt idx="656">
                  <c:v>3381.99</c:v>
                </c:pt>
                <c:pt idx="657">
                  <c:v>3389.78</c:v>
                </c:pt>
                <c:pt idx="658">
                  <c:v>3374.85</c:v>
                </c:pt>
                <c:pt idx="659">
                  <c:v>3385.51</c:v>
                </c:pt>
                <c:pt idx="660">
                  <c:v>3397.16</c:v>
                </c:pt>
                <c:pt idx="661">
                  <c:v>3431.28</c:v>
                </c:pt>
                <c:pt idx="662">
                  <c:v>3443.62</c:v>
                </c:pt>
                <c:pt idx="663">
                  <c:v>3478.73</c:v>
                </c:pt>
                <c:pt idx="664">
                  <c:v>3484.55</c:v>
                </c:pt>
                <c:pt idx="665">
                  <c:v>3508.01</c:v>
                </c:pt>
                <c:pt idx="666">
                  <c:v>3500.31</c:v>
                </c:pt>
                <c:pt idx="667">
                  <c:v>3526.65</c:v>
                </c:pt>
                <c:pt idx="668">
                  <c:v>3580.84</c:v>
                </c:pt>
                <c:pt idx="669">
                  <c:v>3455.06</c:v>
                </c:pt>
                <c:pt idx="670">
                  <c:v>3426.96</c:v>
                </c:pt>
                <c:pt idx="671">
                  <c:v>3426.96</c:v>
                </c:pt>
                <c:pt idx="672">
                  <c:v>3331.84</c:v>
                </c:pt>
                <c:pt idx="673">
                  <c:v>3398.96</c:v>
                </c:pt>
                <c:pt idx="674">
                  <c:v>3339.19</c:v>
                </c:pt>
                <c:pt idx="675">
                  <c:v>3340.97</c:v>
                </c:pt>
                <c:pt idx="676">
                  <c:v>3383.54</c:v>
                </c:pt>
                <c:pt idx="677">
                  <c:v>3401.2</c:v>
                </c:pt>
                <c:pt idx="678">
                  <c:v>3385.49</c:v>
                </c:pt>
                <c:pt idx="679">
                  <c:v>3357.01</c:v>
                </c:pt>
                <c:pt idx="680">
                  <c:v>3319.47</c:v>
                </c:pt>
                <c:pt idx="681">
                  <c:v>3281.06</c:v>
                </c:pt>
                <c:pt idx="682">
                  <c:v>3315.57</c:v>
                </c:pt>
                <c:pt idx="683">
                  <c:v>3236.92</c:v>
                </c:pt>
                <c:pt idx="684">
                  <c:v>3246.59</c:v>
                </c:pt>
                <c:pt idx="685">
                  <c:v>3298.46</c:v>
                </c:pt>
                <c:pt idx="686">
                  <c:v>3351.6</c:v>
                </c:pt>
                <c:pt idx="687">
                  <c:v>3335.47</c:v>
                </c:pt>
                <c:pt idx="688">
                  <c:v>3363</c:v>
                </c:pt>
                <c:pt idx="689">
                  <c:v>3380.8</c:v>
                </c:pt>
                <c:pt idx="690">
                  <c:v>3348.44</c:v>
                </c:pt>
                <c:pt idx="691">
                  <c:v>3408.63</c:v>
                </c:pt>
                <c:pt idx="692">
                  <c:v>3360.95</c:v>
                </c:pt>
                <c:pt idx="693">
                  <c:v>3419.45</c:v>
                </c:pt>
                <c:pt idx="694">
                  <c:v>3446.83</c:v>
                </c:pt>
                <c:pt idx="695">
                  <c:v>3477.13</c:v>
                </c:pt>
                <c:pt idx="696">
                  <c:v>3534.22</c:v>
                </c:pt>
                <c:pt idx="697">
                  <c:v>3511.93</c:v>
                </c:pt>
                <c:pt idx="698">
                  <c:v>3488.67</c:v>
                </c:pt>
                <c:pt idx="699">
                  <c:v>3483.34</c:v>
                </c:pt>
                <c:pt idx="700">
                  <c:v>3483.81</c:v>
                </c:pt>
                <c:pt idx="701">
                  <c:v>3426.92</c:v>
                </c:pt>
                <c:pt idx="702">
                  <c:v>3443.12</c:v>
                </c:pt>
                <c:pt idx="703">
                  <c:v>3435.56</c:v>
                </c:pt>
                <c:pt idx="704">
                  <c:v>3453.49</c:v>
                </c:pt>
                <c:pt idx="705">
                  <c:v>3465.39</c:v>
                </c:pt>
                <c:pt idx="706">
                  <c:v>3400.97</c:v>
                </c:pt>
                <c:pt idx="707">
                  <c:v>3390.68</c:v>
                </c:pt>
                <c:pt idx="708">
                  <c:v>3271.03</c:v>
                </c:pt>
                <c:pt idx="709">
                  <c:v>3310.11</c:v>
                </c:pt>
                <c:pt idx="710">
                  <c:v>3269.96</c:v>
                </c:pt>
                <c:pt idx="711">
                  <c:v>3310.24</c:v>
                </c:pt>
                <c:pt idx="712">
                  <c:v>3369.16</c:v>
                </c:pt>
                <c:pt idx="713">
                  <c:v>3443.44</c:v>
                </c:pt>
                <c:pt idx="714">
                  <c:v>3510.45</c:v>
                </c:pt>
                <c:pt idx="715">
                  <c:v>3509.44</c:v>
                </c:pt>
                <c:pt idx="716">
                  <c:v>3550.5</c:v>
                </c:pt>
                <c:pt idx="717">
                  <c:v>3545.53</c:v>
                </c:pt>
                <c:pt idx="718">
                  <c:v>3572.66</c:v>
                </c:pt>
                <c:pt idx="719">
                  <c:v>3537.01</c:v>
                </c:pt>
                <c:pt idx="720">
                  <c:v>3585.15</c:v>
                </c:pt>
                <c:pt idx="721">
                  <c:v>3626.91</c:v>
                </c:pt>
                <c:pt idx="722">
                  <c:v>3609.53</c:v>
                </c:pt>
                <c:pt idx="723">
                  <c:v>3567.79</c:v>
                </c:pt>
                <c:pt idx="724">
                  <c:v>3581.87</c:v>
                </c:pt>
                <c:pt idx="725">
                  <c:v>3557.54</c:v>
                </c:pt>
                <c:pt idx="726">
                  <c:v>3577.59</c:v>
                </c:pt>
                <c:pt idx="727">
                  <c:v>3635.41</c:v>
                </c:pt>
                <c:pt idx="728">
                  <c:v>3629.65</c:v>
                </c:pt>
                <c:pt idx="729">
                  <c:v>3629.65</c:v>
                </c:pt>
                <c:pt idx="730">
                  <c:v>3638.35</c:v>
                </c:pt>
                <c:pt idx="731">
                  <c:v>3621.63</c:v>
                </c:pt>
                <c:pt idx="732">
                  <c:v>3662.45</c:v>
                </c:pt>
                <c:pt idx="733">
                  <c:v>3669.01</c:v>
                </c:pt>
                <c:pt idx="734">
                  <c:v>3666.72</c:v>
                </c:pt>
                <c:pt idx="735">
                  <c:v>3699.12</c:v>
                </c:pt>
                <c:pt idx="736">
                  <c:v>3691.96</c:v>
                </c:pt>
                <c:pt idx="737">
                  <c:v>3702.25</c:v>
                </c:pt>
                <c:pt idx="738">
                  <c:v>3672.82</c:v>
                </c:pt>
                <c:pt idx="739">
                  <c:v>3668.1</c:v>
                </c:pt>
                <c:pt idx="740">
                  <c:v>3663.46</c:v>
                </c:pt>
                <c:pt idx="741">
                  <c:v>3647.49</c:v>
                </c:pt>
                <c:pt idx="742">
                  <c:v>3694.62</c:v>
                </c:pt>
                <c:pt idx="743">
                  <c:v>3701.17</c:v>
                </c:pt>
                <c:pt idx="744">
                  <c:v>3722.48</c:v>
                </c:pt>
                <c:pt idx="745">
                  <c:v>3709.41</c:v>
                </c:pt>
                <c:pt idx="746">
                  <c:v>3694.92</c:v>
                </c:pt>
                <c:pt idx="747">
                  <c:v>3687.26</c:v>
                </c:pt>
                <c:pt idx="748">
                  <c:v>3690.01</c:v>
                </c:pt>
                <c:pt idx="749">
                  <c:v>3703.06</c:v>
                </c:pt>
                <c:pt idx="750">
                  <c:v>3703.06</c:v>
                </c:pt>
                <c:pt idx="751">
                  <c:v>3735.36</c:v>
                </c:pt>
                <c:pt idx="752">
                  <c:v>3727.04</c:v>
                </c:pt>
                <c:pt idx="753">
                  <c:v>3732.04</c:v>
                </c:pt>
                <c:pt idx="754">
                  <c:v>3756.07</c:v>
                </c:pt>
                <c:pt idx="755">
                  <c:v>3756.07</c:v>
                </c:pt>
                <c:pt idx="756">
                  <c:v>3700.65</c:v>
                </c:pt>
                <c:pt idx="757">
                  <c:v>3726.86</c:v>
                </c:pt>
                <c:pt idx="758">
                  <c:v>3748.14</c:v>
                </c:pt>
                <c:pt idx="759">
                  <c:v>3803.79</c:v>
                </c:pt>
                <c:pt idx="760">
                  <c:v>3824.68</c:v>
                </c:pt>
                <c:pt idx="761">
                  <c:v>3799.61</c:v>
                </c:pt>
                <c:pt idx="762">
                  <c:v>3801.19</c:v>
                </c:pt>
                <c:pt idx="763">
                  <c:v>3809.84</c:v>
                </c:pt>
                <c:pt idx="764">
                  <c:v>3795.54</c:v>
                </c:pt>
                <c:pt idx="765">
                  <c:v>3768.25</c:v>
                </c:pt>
                <c:pt idx="766">
                  <c:v>3768.25</c:v>
                </c:pt>
                <c:pt idx="767">
                  <c:v>3798.91</c:v>
                </c:pt>
                <c:pt idx="768">
                  <c:v>3851.85</c:v>
                </c:pt>
                <c:pt idx="769">
                  <c:v>3853.07</c:v>
                </c:pt>
                <c:pt idx="770">
                  <c:v>3841.47</c:v>
                </c:pt>
                <c:pt idx="771">
                  <c:v>3855.36</c:v>
                </c:pt>
                <c:pt idx="772">
                  <c:v>3849.62</c:v>
                </c:pt>
                <c:pt idx="773">
                  <c:v>3750.77</c:v>
                </c:pt>
                <c:pt idx="774">
                  <c:v>3787.38</c:v>
                </c:pt>
                <c:pt idx="775">
                  <c:v>3714.24</c:v>
                </c:pt>
                <c:pt idx="776">
                  <c:v>3773.86</c:v>
                </c:pt>
                <c:pt idx="777">
                  <c:v>3826.31</c:v>
                </c:pt>
                <c:pt idx="778">
                  <c:v>3830.17</c:v>
                </c:pt>
                <c:pt idx="779">
                  <c:v>3871.74</c:v>
                </c:pt>
                <c:pt idx="780">
                  <c:v>3886.83</c:v>
                </c:pt>
                <c:pt idx="781">
                  <c:v>3915.59</c:v>
                </c:pt>
                <c:pt idx="782">
                  <c:v>3911.23</c:v>
                </c:pt>
                <c:pt idx="783">
                  <c:v>3909.88</c:v>
                </c:pt>
                <c:pt idx="784">
                  <c:v>3916.38</c:v>
                </c:pt>
                <c:pt idx="785">
                  <c:v>3934.83</c:v>
                </c:pt>
                <c:pt idx="786">
                  <c:v>3934.83</c:v>
                </c:pt>
                <c:pt idx="787">
                  <c:v>3932.59</c:v>
                </c:pt>
                <c:pt idx="788">
                  <c:v>3931.33</c:v>
                </c:pt>
                <c:pt idx="789">
                  <c:v>3913.97</c:v>
                </c:pt>
                <c:pt idx="790">
                  <c:v>3906.71</c:v>
                </c:pt>
                <c:pt idx="791">
                  <c:v>3876.5</c:v>
                </c:pt>
                <c:pt idx="792">
                  <c:v>3881.37</c:v>
                </c:pt>
                <c:pt idx="793">
                  <c:v>3925.43</c:v>
                </c:pt>
                <c:pt idx="794">
                  <c:v>3829.34</c:v>
                </c:pt>
                <c:pt idx="795">
                  <c:v>3811.15</c:v>
                </c:pt>
                <c:pt idx="796">
                  <c:v>3901.82</c:v>
                </c:pt>
                <c:pt idx="797">
                  <c:v>3870.29</c:v>
                </c:pt>
                <c:pt idx="798">
                  <c:v>3819.72</c:v>
                </c:pt>
                <c:pt idx="799">
                  <c:v>3768.47</c:v>
                </c:pt>
                <c:pt idx="800">
                  <c:v>3841.94</c:v>
                </c:pt>
                <c:pt idx="801">
                  <c:v>3821.35</c:v>
                </c:pt>
                <c:pt idx="802">
                  <c:v>3875.44</c:v>
                </c:pt>
                <c:pt idx="803">
                  <c:v>3898.81</c:v>
                </c:pt>
                <c:pt idx="804">
                  <c:v>3939.34</c:v>
                </c:pt>
                <c:pt idx="805">
                  <c:v>3943.34</c:v>
                </c:pt>
                <c:pt idx="806">
                  <c:v>3968.94</c:v>
                </c:pt>
                <c:pt idx="807">
                  <c:v>3962.71</c:v>
                </c:pt>
                <c:pt idx="808">
                  <c:v>3974.12</c:v>
                </c:pt>
                <c:pt idx="809">
                  <c:v>3915.46</c:v>
                </c:pt>
                <c:pt idx="810">
                  <c:v>3913.1</c:v>
                </c:pt>
                <c:pt idx="811">
                  <c:v>3940.59</c:v>
                </c:pt>
                <c:pt idx="812">
                  <c:v>3910.52</c:v>
                </c:pt>
                <c:pt idx="813">
                  <c:v>3889.14</c:v>
                </c:pt>
                <c:pt idx="814">
                  <c:v>3909.52</c:v>
                </c:pt>
                <c:pt idx="815">
                  <c:v>3974.54</c:v>
                </c:pt>
                <c:pt idx="816">
                  <c:v>3971.09</c:v>
                </c:pt>
                <c:pt idx="817">
                  <c:v>3958.55</c:v>
                </c:pt>
                <c:pt idx="818">
                  <c:v>3972.89</c:v>
                </c:pt>
                <c:pt idx="819">
                  <c:v>4019.87</c:v>
                </c:pt>
                <c:pt idx="820">
                  <c:v>4019.87</c:v>
                </c:pt>
                <c:pt idx="821">
                  <c:v>4077.91</c:v>
                </c:pt>
                <c:pt idx="822">
                  <c:v>4073.94</c:v>
                </c:pt>
                <c:pt idx="823">
                  <c:v>4079.95</c:v>
                </c:pt>
                <c:pt idx="824">
                  <c:v>4097.17</c:v>
                </c:pt>
                <c:pt idx="825">
                  <c:v>4128.8</c:v>
                </c:pt>
                <c:pt idx="826">
                  <c:v>4127.99</c:v>
                </c:pt>
                <c:pt idx="827">
                  <c:v>4141.59</c:v>
                </c:pt>
                <c:pt idx="828">
                  <c:v>4124.66</c:v>
                </c:pt>
                <c:pt idx="829">
                  <c:v>4170.42</c:v>
                </c:pt>
                <c:pt idx="830">
                  <c:v>4185.47</c:v>
                </c:pt>
                <c:pt idx="831">
                  <c:v>4163.26</c:v>
                </c:pt>
                <c:pt idx="832">
                  <c:v>4134.9399999999996</c:v>
                </c:pt>
                <c:pt idx="833">
                  <c:v>4173.42</c:v>
                </c:pt>
                <c:pt idx="834">
                  <c:v>4134.9799999999996</c:v>
                </c:pt>
                <c:pt idx="835">
                  <c:v>4180.17</c:v>
                </c:pt>
                <c:pt idx="836">
                  <c:v>4187.62</c:v>
                </c:pt>
                <c:pt idx="837">
                  <c:v>4186.72</c:v>
                </c:pt>
                <c:pt idx="838">
                  <c:v>4183.18</c:v>
                </c:pt>
                <c:pt idx="839">
                  <c:v>4211.47</c:v>
                </c:pt>
                <c:pt idx="840">
                  <c:v>4181.17</c:v>
                </c:pt>
                <c:pt idx="841">
                  <c:v>4192.66</c:v>
                </c:pt>
                <c:pt idx="842">
                  <c:v>4164.66</c:v>
                </c:pt>
                <c:pt idx="843">
                  <c:v>4167.59</c:v>
                </c:pt>
                <c:pt idx="844">
                  <c:v>4201.62</c:v>
                </c:pt>
                <c:pt idx="845">
                  <c:v>4232.6000000000004</c:v>
                </c:pt>
                <c:pt idx="846">
                  <c:v>4188.43</c:v>
                </c:pt>
                <c:pt idx="847">
                  <c:v>4152.1000000000004</c:v>
                </c:pt>
                <c:pt idx="848">
                  <c:v>4063.04</c:v>
                </c:pt>
                <c:pt idx="849">
                  <c:v>4112.5</c:v>
                </c:pt>
                <c:pt idx="850">
                  <c:v>4173.8500000000004</c:v>
                </c:pt>
                <c:pt idx="851">
                  <c:v>4163.29</c:v>
                </c:pt>
                <c:pt idx="852">
                  <c:v>4127.83</c:v>
                </c:pt>
                <c:pt idx="853">
                  <c:v>4115.68</c:v>
                </c:pt>
                <c:pt idx="854">
                  <c:v>4159.12</c:v>
                </c:pt>
                <c:pt idx="855">
                  <c:v>4155.8599999999997</c:v>
                </c:pt>
                <c:pt idx="856">
                  <c:v>4197.05</c:v>
                </c:pt>
                <c:pt idx="857">
                  <c:v>4188.13</c:v>
                </c:pt>
                <c:pt idx="858">
                  <c:v>4195.99</c:v>
                </c:pt>
                <c:pt idx="859">
                  <c:v>4200.88</c:v>
                </c:pt>
                <c:pt idx="860">
                  <c:v>4204.1099999999997</c:v>
                </c:pt>
                <c:pt idx="861">
                  <c:v>4204.1099999999997</c:v>
                </c:pt>
                <c:pt idx="862">
                  <c:v>4202.04</c:v>
                </c:pt>
                <c:pt idx="863">
                  <c:v>4208.12</c:v>
                </c:pt>
                <c:pt idx="864">
                  <c:v>4192.8500000000004</c:v>
                </c:pt>
                <c:pt idx="865">
                  <c:v>4229.8900000000003</c:v>
                </c:pt>
                <c:pt idx="866">
                  <c:v>4226.5200000000004</c:v>
                </c:pt>
                <c:pt idx="867">
                  <c:v>4227.26</c:v>
                </c:pt>
                <c:pt idx="868">
                  <c:v>4219.55</c:v>
                </c:pt>
                <c:pt idx="869">
                  <c:v>4239.18</c:v>
                </c:pt>
                <c:pt idx="870">
                  <c:v>4247.4399999999996</c:v>
                </c:pt>
                <c:pt idx="871">
                  <c:v>4255.1499999999996</c:v>
                </c:pt>
                <c:pt idx="872">
                  <c:v>4246.59</c:v>
                </c:pt>
                <c:pt idx="873">
                  <c:v>4223.7</c:v>
                </c:pt>
                <c:pt idx="874">
                  <c:v>4221.8599999999997</c:v>
                </c:pt>
                <c:pt idx="875">
                  <c:v>4166.45</c:v>
                </c:pt>
                <c:pt idx="876">
                  <c:v>4224.79</c:v>
                </c:pt>
                <c:pt idx="877">
                  <c:v>4246.4399999999996</c:v>
                </c:pt>
                <c:pt idx="878">
                  <c:v>4241.84</c:v>
                </c:pt>
                <c:pt idx="879">
                  <c:v>4266.49</c:v>
                </c:pt>
                <c:pt idx="880">
                  <c:v>4280.7</c:v>
                </c:pt>
                <c:pt idx="881">
                  <c:v>4290.6099999999997</c:v>
                </c:pt>
                <c:pt idx="882">
                  <c:v>4291.8</c:v>
                </c:pt>
                <c:pt idx="883">
                  <c:v>4297.5</c:v>
                </c:pt>
                <c:pt idx="884">
                  <c:v>4319.9399999999996</c:v>
                </c:pt>
                <c:pt idx="885">
                  <c:v>4352.34</c:v>
                </c:pt>
                <c:pt idx="886">
                  <c:v>4352.34</c:v>
                </c:pt>
                <c:pt idx="887">
                  <c:v>4343.54</c:v>
                </c:pt>
                <c:pt idx="888">
                  <c:v>4358.13</c:v>
                </c:pt>
                <c:pt idx="889">
                  <c:v>4320.82</c:v>
                </c:pt>
                <c:pt idx="890">
                  <c:v>4369.55</c:v>
                </c:pt>
                <c:pt idx="891">
                  <c:v>4384.63</c:v>
                </c:pt>
                <c:pt idx="892">
                  <c:v>4369.21</c:v>
                </c:pt>
                <c:pt idx="893">
                  <c:v>4374.3</c:v>
                </c:pt>
                <c:pt idx="894">
                  <c:v>4360.03</c:v>
                </c:pt>
                <c:pt idx="895">
                  <c:v>4327.16</c:v>
                </c:pt>
                <c:pt idx="896">
                  <c:v>4258.49</c:v>
                </c:pt>
                <c:pt idx="897">
                  <c:v>4323.0600000000004</c:v>
                </c:pt>
                <c:pt idx="898">
                  <c:v>4358.6899999999996</c:v>
                </c:pt>
                <c:pt idx="899">
                  <c:v>4367.4799999999996</c:v>
                </c:pt>
                <c:pt idx="900">
                  <c:v>4411.79</c:v>
                </c:pt>
                <c:pt idx="901">
                  <c:v>4422.3</c:v>
                </c:pt>
                <c:pt idx="902">
                  <c:v>4401.46</c:v>
                </c:pt>
                <c:pt idx="903">
                  <c:v>4400.6400000000003</c:v>
                </c:pt>
                <c:pt idx="904">
                  <c:v>4419.1499999999996</c:v>
                </c:pt>
                <c:pt idx="905">
                  <c:v>4395.26</c:v>
                </c:pt>
                <c:pt idx="906">
                  <c:v>4387.16</c:v>
                </c:pt>
                <c:pt idx="907">
                  <c:v>4423.1499999999996</c:v>
                </c:pt>
                <c:pt idx="908">
                  <c:v>4402.66</c:v>
                </c:pt>
                <c:pt idx="909">
                  <c:v>4429.1000000000004</c:v>
                </c:pt>
                <c:pt idx="910">
                  <c:v>4436.5200000000004</c:v>
                </c:pt>
                <c:pt idx="911">
                  <c:v>4432.3500000000004</c:v>
                </c:pt>
                <c:pt idx="912">
                  <c:v>4436.75</c:v>
                </c:pt>
                <c:pt idx="913">
                  <c:v>4447.7</c:v>
                </c:pt>
                <c:pt idx="914">
                  <c:v>4460.83</c:v>
                </c:pt>
                <c:pt idx="915">
                  <c:v>4468</c:v>
                </c:pt>
                <c:pt idx="916">
                  <c:v>4479.71</c:v>
                </c:pt>
                <c:pt idx="917">
                  <c:v>4448.08</c:v>
                </c:pt>
                <c:pt idx="918">
                  <c:v>4400.2700000000004</c:v>
                </c:pt>
                <c:pt idx="919">
                  <c:v>4405.8</c:v>
                </c:pt>
                <c:pt idx="920">
                  <c:v>4441.67</c:v>
                </c:pt>
                <c:pt idx="921">
                  <c:v>4479.53</c:v>
                </c:pt>
                <c:pt idx="922">
                  <c:v>4486.2299999999996</c:v>
                </c:pt>
                <c:pt idx="923">
                  <c:v>4496.1899999999996</c:v>
                </c:pt>
                <c:pt idx="924">
                  <c:v>4470</c:v>
                </c:pt>
                <c:pt idx="925">
                  <c:v>4509.37</c:v>
                </c:pt>
                <c:pt idx="926">
                  <c:v>4528.79</c:v>
                </c:pt>
                <c:pt idx="927">
                  <c:v>4522.68</c:v>
                </c:pt>
                <c:pt idx="928">
                  <c:v>4524.09</c:v>
                </c:pt>
                <c:pt idx="929">
                  <c:v>4536.95</c:v>
                </c:pt>
                <c:pt idx="930">
                  <c:v>4535.43</c:v>
                </c:pt>
                <c:pt idx="931">
                  <c:v>4535.43</c:v>
                </c:pt>
                <c:pt idx="932">
                  <c:v>4520.03</c:v>
                </c:pt>
                <c:pt idx="933">
                  <c:v>4514.07</c:v>
                </c:pt>
                <c:pt idx="934">
                  <c:v>4493.28</c:v>
                </c:pt>
                <c:pt idx="935">
                  <c:v>4458.58</c:v>
                </c:pt>
                <c:pt idx="936">
                  <c:v>4468.7299999999996</c:v>
                </c:pt>
                <c:pt idx="937">
                  <c:v>4443.05</c:v>
                </c:pt>
                <c:pt idx="938">
                  <c:v>4480.7</c:v>
                </c:pt>
                <c:pt idx="939">
                  <c:v>4473.75</c:v>
                </c:pt>
                <c:pt idx="940">
                  <c:v>4432.99</c:v>
                </c:pt>
                <c:pt idx="941">
                  <c:v>4357.7299999999996</c:v>
                </c:pt>
                <c:pt idx="942">
                  <c:v>4354.1899999999996</c:v>
                </c:pt>
                <c:pt idx="943">
                  <c:v>4395.6400000000003</c:v>
                </c:pt>
                <c:pt idx="944">
                  <c:v>4448.9799999999996</c:v>
                </c:pt>
                <c:pt idx="945">
                  <c:v>4455.4799999999996</c:v>
                </c:pt>
                <c:pt idx="946">
                  <c:v>4443.1099999999997</c:v>
                </c:pt>
                <c:pt idx="947">
                  <c:v>4352.63</c:v>
                </c:pt>
                <c:pt idx="948">
                  <c:v>4359.46</c:v>
                </c:pt>
                <c:pt idx="949">
                  <c:v>4307.54</c:v>
                </c:pt>
                <c:pt idx="950">
                  <c:v>4357.04</c:v>
                </c:pt>
                <c:pt idx="951">
                  <c:v>4300.46</c:v>
                </c:pt>
                <c:pt idx="952">
                  <c:v>4345.72</c:v>
                </c:pt>
                <c:pt idx="953">
                  <c:v>4363.55</c:v>
                </c:pt>
                <c:pt idx="954">
                  <c:v>4399.76</c:v>
                </c:pt>
                <c:pt idx="955">
                  <c:v>4391.34</c:v>
                </c:pt>
                <c:pt idx="956">
                  <c:v>4361.1899999999996</c:v>
                </c:pt>
                <c:pt idx="957">
                  <c:v>4350.6499999999996</c:v>
                </c:pt>
                <c:pt idx="958">
                  <c:v>4363.8</c:v>
                </c:pt>
                <c:pt idx="959">
                  <c:v>4438.26</c:v>
                </c:pt>
                <c:pt idx="960">
                  <c:v>4471.37</c:v>
                </c:pt>
                <c:pt idx="961">
                  <c:v>4486.46</c:v>
                </c:pt>
                <c:pt idx="962">
                  <c:v>4519.63</c:v>
                </c:pt>
                <c:pt idx="963">
                  <c:v>4536.1899999999996</c:v>
                </c:pt>
                <c:pt idx="964">
                  <c:v>4549.78</c:v>
                </c:pt>
                <c:pt idx="965">
                  <c:v>4544.8999999999996</c:v>
                </c:pt>
                <c:pt idx="966">
                  <c:v>4566.4799999999996</c:v>
                </c:pt>
                <c:pt idx="967">
                  <c:v>4574.79</c:v>
                </c:pt>
                <c:pt idx="968">
                  <c:v>4551.68</c:v>
                </c:pt>
                <c:pt idx="969">
                  <c:v>4596.42</c:v>
                </c:pt>
                <c:pt idx="970">
                  <c:v>4605.38</c:v>
                </c:pt>
                <c:pt idx="971">
                  <c:v>4613.67</c:v>
                </c:pt>
                <c:pt idx="972">
                  <c:v>4630.6499999999996</c:v>
                </c:pt>
                <c:pt idx="973">
                  <c:v>4660.57</c:v>
                </c:pt>
                <c:pt idx="974">
                  <c:v>4680.0600000000004</c:v>
                </c:pt>
                <c:pt idx="975">
                  <c:v>4697.53</c:v>
                </c:pt>
                <c:pt idx="976">
                  <c:v>4701.7</c:v>
                </c:pt>
                <c:pt idx="977">
                  <c:v>4685.25</c:v>
                </c:pt>
                <c:pt idx="978">
                  <c:v>4646.71</c:v>
                </c:pt>
                <c:pt idx="979">
                  <c:v>4649.2700000000004</c:v>
                </c:pt>
                <c:pt idx="980">
                  <c:v>4682.8500000000004</c:v>
                </c:pt>
                <c:pt idx="981">
                  <c:v>4682.8</c:v>
                </c:pt>
                <c:pt idx="982">
                  <c:v>4700.8999999999996</c:v>
                </c:pt>
                <c:pt idx="983">
                  <c:v>4688.67</c:v>
                </c:pt>
                <c:pt idx="984">
                  <c:v>4704.54</c:v>
                </c:pt>
                <c:pt idx="985">
                  <c:v>4697.96</c:v>
                </c:pt>
                <c:pt idx="986">
                  <c:v>4682.9399999999996</c:v>
                </c:pt>
                <c:pt idx="987">
                  <c:v>4690.7</c:v>
                </c:pt>
                <c:pt idx="988">
                  <c:v>4701.46</c:v>
                </c:pt>
                <c:pt idx="989">
                  <c:v>4701.46</c:v>
                </c:pt>
                <c:pt idx="990">
                  <c:v>4594.62</c:v>
                </c:pt>
                <c:pt idx="991">
                  <c:v>4655.2700000000004</c:v>
                </c:pt>
                <c:pt idx="992">
                  <c:v>4567</c:v>
                </c:pt>
                <c:pt idx="993">
                  <c:v>4513.04</c:v>
                </c:pt>
                <c:pt idx="994">
                  <c:v>4577.1000000000004</c:v>
                </c:pt>
                <c:pt idx="995">
                  <c:v>4538.43</c:v>
                </c:pt>
                <c:pt idx="996">
                  <c:v>4591.67</c:v>
                </c:pt>
                <c:pt idx="997">
                  <c:v>4686.75</c:v>
                </c:pt>
                <c:pt idx="998">
                  <c:v>4701.21</c:v>
                </c:pt>
                <c:pt idx="999">
                  <c:v>4667.45</c:v>
                </c:pt>
                <c:pt idx="1000">
                  <c:v>4712.0200000000004</c:v>
                </c:pt>
                <c:pt idx="1001">
                  <c:v>4668.97</c:v>
                </c:pt>
                <c:pt idx="1002">
                  <c:v>4634.09</c:v>
                </c:pt>
                <c:pt idx="1003">
                  <c:v>4709.8500000000004</c:v>
                </c:pt>
                <c:pt idx="1004">
                  <c:v>4668.67</c:v>
                </c:pt>
                <c:pt idx="1005">
                  <c:v>4620.6400000000003</c:v>
                </c:pt>
                <c:pt idx="1006">
                  <c:v>4568.0200000000004</c:v>
                </c:pt>
                <c:pt idx="1007">
                  <c:v>4649.2299999999996</c:v>
                </c:pt>
                <c:pt idx="1008">
                  <c:v>4696.5600000000004</c:v>
                </c:pt>
                <c:pt idx="1009">
                  <c:v>4725.79</c:v>
                </c:pt>
                <c:pt idx="1010">
                  <c:v>4725.79</c:v>
                </c:pt>
                <c:pt idx="1011">
                  <c:v>4791.1899999999996</c:v>
                </c:pt>
                <c:pt idx="1012">
                  <c:v>4786.3500000000004</c:v>
                </c:pt>
                <c:pt idx="1013">
                  <c:v>4793.0600000000004</c:v>
                </c:pt>
                <c:pt idx="1014">
                  <c:v>4778.7299999999996</c:v>
                </c:pt>
                <c:pt idx="1015">
                  <c:v>4766.18</c:v>
                </c:pt>
                <c:pt idx="1016">
                  <c:v>4796.5600000000004</c:v>
                </c:pt>
                <c:pt idx="1017">
                  <c:v>4793.54</c:v>
                </c:pt>
                <c:pt idx="1018">
                  <c:v>4700.58</c:v>
                </c:pt>
                <c:pt idx="1019">
                  <c:v>4696.05</c:v>
                </c:pt>
                <c:pt idx="1020">
                  <c:v>4677.03</c:v>
                </c:pt>
                <c:pt idx="1021">
                  <c:v>4670.29</c:v>
                </c:pt>
                <c:pt idx="1022">
                  <c:v>4713.07</c:v>
                </c:pt>
                <c:pt idx="1023">
                  <c:v>4726.3500000000004</c:v>
                </c:pt>
                <c:pt idx="1024">
                  <c:v>4659.03</c:v>
                </c:pt>
                <c:pt idx="1025">
                  <c:v>4662.8500000000004</c:v>
                </c:pt>
                <c:pt idx="1026">
                  <c:v>4662.8500000000004</c:v>
                </c:pt>
                <c:pt idx="1027">
                  <c:v>4577.1099999999997</c:v>
                </c:pt>
                <c:pt idx="1028">
                  <c:v>4532.76</c:v>
                </c:pt>
                <c:pt idx="1029">
                  <c:v>4482.7299999999996</c:v>
                </c:pt>
                <c:pt idx="1030">
                  <c:v>4397.9399999999996</c:v>
                </c:pt>
                <c:pt idx="1031">
                  <c:v>4410.13</c:v>
                </c:pt>
                <c:pt idx="1032">
                  <c:v>4356.45</c:v>
                </c:pt>
                <c:pt idx="1033">
                  <c:v>4349.93</c:v>
                </c:pt>
                <c:pt idx="1034">
                  <c:v>4326.51</c:v>
                </c:pt>
                <c:pt idx="1035">
                  <c:v>4431.8500000000004</c:v>
                </c:pt>
                <c:pt idx="1036">
                  <c:v>4515.55</c:v>
                </c:pt>
                <c:pt idx="1037">
                  <c:v>4546.54</c:v>
                </c:pt>
                <c:pt idx="1038">
                  <c:v>4589.38</c:v>
                </c:pt>
                <c:pt idx="1039">
                  <c:v>4477.4399999999996</c:v>
                </c:pt>
                <c:pt idx="1040">
                  <c:v>4500.53</c:v>
                </c:pt>
                <c:pt idx="1041">
                  <c:v>4483.87</c:v>
                </c:pt>
                <c:pt idx="1042">
                  <c:v>4521.54</c:v>
                </c:pt>
                <c:pt idx="1043">
                  <c:v>4587.18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8-DD4C-8A43-D8E2FC5F5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566655"/>
        <c:axId val="1978428351"/>
      </c:lineChart>
      <c:lineChart>
        <c:grouping val="stacked"/>
        <c:varyColors val="0"/>
        <c:ser>
          <c:idx val="0"/>
          <c:order val="0"/>
          <c:tx>
            <c:strRef>
              <c:f>Prices!$D$3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Prices!$C$4:$C$1047</c:f>
              <c:numCache>
                <c:formatCode>m/d/yy</c:formatCode>
                <c:ptCount val="1044"/>
                <c:pt idx="0">
                  <c:v>43140</c:v>
                </c:pt>
                <c:pt idx="1">
                  <c:v>43143</c:v>
                </c:pt>
                <c:pt idx="2">
                  <c:v>43144</c:v>
                </c:pt>
                <c:pt idx="3">
                  <c:v>43145</c:v>
                </c:pt>
                <c:pt idx="4">
                  <c:v>43146</c:v>
                </c:pt>
                <c:pt idx="5">
                  <c:v>43147</c:v>
                </c:pt>
                <c:pt idx="6">
                  <c:v>43150</c:v>
                </c:pt>
                <c:pt idx="7">
                  <c:v>43151</c:v>
                </c:pt>
                <c:pt idx="8">
                  <c:v>43152</c:v>
                </c:pt>
                <c:pt idx="9">
                  <c:v>43153</c:v>
                </c:pt>
                <c:pt idx="10">
                  <c:v>43154</c:v>
                </c:pt>
                <c:pt idx="11">
                  <c:v>43157</c:v>
                </c:pt>
                <c:pt idx="12">
                  <c:v>43158</c:v>
                </c:pt>
                <c:pt idx="13">
                  <c:v>43159</c:v>
                </c:pt>
                <c:pt idx="14">
                  <c:v>43160</c:v>
                </c:pt>
                <c:pt idx="15">
                  <c:v>43161</c:v>
                </c:pt>
                <c:pt idx="16">
                  <c:v>43164</c:v>
                </c:pt>
                <c:pt idx="17">
                  <c:v>43165</c:v>
                </c:pt>
                <c:pt idx="18">
                  <c:v>43166</c:v>
                </c:pt>
                <c:pt idx="19">
                  <c:v>43167</c:v>
                </c:pt>
                <c:pt idx="20">
                  <c:v>43168</c:v>
                </c:pt>
                <c:pt idx="21">
                  <c:v>43171</c:v>
                </c:pt>
                <c:pt idx="22">
                  <c:v>43172</c:v>
                </c:pt>
                <c:pt idx="23">
                  <c:v>43173</c:v>
                </c:pt>
                <c:pt idx="24">
                  <c:v>43174</c:v>
                </c:pt>
                <c:pt idx="25">
                  <c:v>43175</c:v>
                </c:pt>
                <c:pt idx="26">
                  <c:v>43178</c:v>
                </c:pt>
                <c:pt idx="27">
                  <c:v>43179</c:v>
                </c:pt>
                <c:pt idx="28">
                  <c:v>43180</c:v>
                </c:pt>
                <c:pt idx="29">
                  <c:v>43181</c:v>
                </c:pt>
                <c:pt idx="30">
                  <c:v>43182</c:v>
                </c:pt>
                <c:pt idx="31">
                  <c:v>43185</c:v>
                </c:pt>
                <c:pt idx="32">
                  <c:v>43186</c:v>
                </c:pt>
                <c:pt idx="33">
                  <c:v>43187</c:v>
                </c:pt>
                <c:pt idx="34">
                  <c:v>43188</c:v>
                </c:pt>
                <c:pt idx="35">
                  <c:v>43189</c:v>
                </c:pt>
                <c:pt idx="36">
                  <c:v>43192</c:v>
                </c:pt>
                <c:pt idx="37">
                  <c:v>43193</c:v>
                </c:pt>
                <c:pt idx="38">
                  <c:v>43194</c:v>
                </c:pt>
                <c:pt idx="39">
                  <c:v>43195</c:v>
                </c:pt>
                <c:pt idx="40">
                  <c:v>43196</c:v>
                </c:pt>
                <c:pt idx="41">
                  <c:v>43199</c:v>
                </c:pt>
                <c:pt idx="42">
                  <c:v>43200</c:v>
                </c:pt>
                <c:pt idx="43">
                  <c:v>43201</c:v>
                </c:pt>
                <c:pt idx="44">
                  <c:v>43202</c:v>
                </c:pt>
                <c:pt idx="45">
                  <c:v>43203</c:v>
                </c:pt>
                <c:pt idx="46">
                  <c:v>43206</c:v>
                </c:pt>
                <c:pt idx="47">
                  <c:v>43207</c:v>
                </c:pt>
                <c:pt idx="48">
                  <c:v>43208</c:v>
                </c:pt>
                <c:pt idx="49">
                  <c:v>43209</c:v>
                </c:pt>
                <c:pt idx="50">
                  <c:v>43210</c:v>
                </c:pt>
                <c:pt idx="51">
                  <c:v>43213</c:v>
                </c:pt>
                <c:pt idx="52">
                  <c:v>43214</c:v>
                </c:pt>
                <c:pt idx="53">
                  <c:v>43215</c:v>
                </c:pt>
                <c:pt idx="54">
                  <c:v>43216</c:v>
                </c:pt>
                <c:pt idx="55">
                  <c:v>43217</c:v>
                </c:pt>
                <c:pt idx="56">
                  <c:v>43220</c:v>
                </c:pt>
                <c:pt idx="57">
                  <c:v>43221</c:v>
                </c:pt>
                <c:pt idx="58">
                  <c:v>43222</c:v>
                </c:pt>
                <c:pt idx="59">
                  <c:v>43223</c:v>
                </c:pt>
                <c:pt idx="60">
                  <c:v>43224</c:v>
                </c:pt>
                <c:pt idx="61">
                  <c:v>43227</c:v>
                </c:pt>
                <c:pt idx="62">
                  <c:v>43228</c:v>
                </c:pt>
                <c:pt idx="63">
                  <c:v>43229</c:v>
                </c:pt>
                <c:pt idx="64">
                  <c:v>43230</c:v>
                </c:pt>
                <c:pt idx="65">
                  <c:v>43231</c:v>
                </c:pt>
                <c:pt idx="66">
                  <c:v>43234</c:v>
                </c:pt>
                <c:pt idx="67">
                  <c:v>43235</c:v>
                </c:pt>
                <c:pt idx="68">
                  <c:v>43236</c:v>
                </c:pt>
                <c:pt idx="69">
                  <c:v>43237</c:v>
                </c:pt>
                <c:pt idx="70">
                  <c:v>43238</c:v>
                </c:pt>
                <c:pt idx="71">
                  <c:v>43241</c:v>
                </c:pt>
                <c:pt idx="72">
                  <c:v>43242</c:v>
                </c:pt>
                <c:pt idx="73">
                  <c:v>43243</c:v>
                </c:pt>
                <c:pt idx="74">
                  <c:v>43244</c:v>
                </c:pt>
                <c:pt idx="75">
                  <c:v>43245</c:v>
                </c:pt>
                <c:pt idx="76">
                  <c:v>43248</c:v>
                </c:pt>
                <c:pt idx="77">
                  <c:v>43249</c:v>
                </c:pt>
                <c:pt idx="78">
                  <c:v>43250</c:v>
                </c:pt>
                <c:pt idx="79">
                  <c:v>43251</c:v>
                </c:pt>
                <c:pt idx="80">
                  <c:v>43252</c:v>
                </c:pt>
                <c:pt idx="81">
                  <c:v>43255</c:v>
                </c:pt>
                <c:pt idx="82">
                  <c:v>43256</c:v>
                </c:pt>
                <c:pt idx="83">
                  <c:v>43257</c:v>
                </c:pt>
                <c:pt idx="84">
                  <c:v>43258</c:v>
                </c:pt>
                <c:pt idx="85">
                  <c:v>43259</c:v>
                </c:pt>
                <c:pt idx="86">
                  <c:v>43262</c:v>
                </c:pt>
                <c:pt idx="87">
                  <c:v>43263</c:v>
                </c:pt>
                <c:pt idx="88">
                  <c:v>43264</c:v>
                </c:pt>
                <c:pt idx="89">
                  <c:v>43265</c:v>
                </c:pt>
                <c:pt idx="90">
                  <c:v>43266</c:v>
                </c:pt>
                <c:pt idx="91">
                  <c:v>43269</c:v>
                </c:pt>
                <c:pt idx="92">
                  <c:v>43270</c:v>
                </c:pt>
                <c:pt idx="93">
                  <c:v>43271</c:v>
                </c:pt>
                <c:pt idx="94">
                  <c:v>43272</c:v>
                </c:pt>
                <c:pt idx="95">
                  <c:v>43273</c:v>
                </c:pt>
                <c:pt idx="96">
                  <c:v>43276</c:v>
                </c:pt>
                <c:pt idx="97">
                  <c:v>43277</c:v>
                </c:pt>
                <c:pt idx="98">
                  <c:v>43278</c:v>
                </c:pt>
                <c:pt idx="99">
                  <c:v>43279</c:v>
                </c:pt>
                <c:pt idx="100">
                  <c:v>43280</c:v>
                </c:pt>
                <c:pt idx="101">
                  <c:v>43283</c:v>
                </c:pt>
                <c:pt idx="102">
                  <c:v>43284</c:v>
                </c:pt>
                <c:pt idx="103">
                  <c:v>43285</c:v>
                </c:pt>
                <c:pt idx="104">
                  <c:v>43286</c:v>
                </c:pt>
                <c:pt idx="105">
                  <c:v>43287</c:v>
                </c:pt>
                <c:pt idx="106">
                  <c:v>43290</c:v>
                </c:pt>
                <c:pt idx="107">
                  <c:v>43291</c:v>
                </c:pt>
                <c:pt idx="108">
                  <c:v>43292</c:v>
                </c:pt>
                <c:pt idx="109">
                  <c:v>43293</c:v>
                </c:pt>
                <c:pt idx="110">
                  <c:v>43294</c:v>
                </c:pt>
                <c:pt idx="111">
                  <c:v>43297</c:v>
                </c:pt>
                <c:pt idx="112">
                  <c:v>43298</c:v>
                </c:pt>
                <c:pt idx="113">
                  <c:v>43299</c:v>
                </c:pt>
                <c:pt idx="114">
                  <c:v>43300</c:v>
                </c:pt>
                <c:pt idx="115">
                  <c:v>43301</c:v>
                </c:pt>
                <c:pt idx="116">
                  <c:v>43304</c:v>
                </c:pt>
                <c:pt idx="117">
                  <c:v>43305</c:v>
                </c:pt>
                <c:pt idx="118">
                  <c:v>43306</c:v>
                </c:pt>
                <c:pt idx="119">
                  <c:v>43307</c:v>
                </c:pt>
                <c:pt idx="120">
                  <c:v>43308</c:v>
                </c:pt>
                <c:pt idx="121">
                  <c:v>43311</c:v>
                </c:pt>
                <c:pt idx="122">
                  <c:v>43312</c:v>
                </c:pt>
                <c:pt idx="123">
                  <c:v>43313</c:v>
                </c:pt>
                <c:pt idx="124">
                  <c:v>43314</c:v>
                </c:pt>
                <c:pt idx="125">
                  <c:v>43315</c:v>
                </c:pt>
                <c:pt idx="126">
                  <c:v>43318</c:v>
                </c:pt>
                <c:pt idx="127">
                  <c:v>43319</c:v>
                </c:pt>
                <c:pt idx="128">
                  <c:v>43320</c:v>
                </c:pt>
                <c:pt idx="129">
                  <c:v>43321</c:v>
                </c:pt>
                <c:pt idx="130">
                  <c:v>43322</c:v>
                </c:pt>
                <c:pt idx="131">
                  <c:v>43325</c:v>
                </c:pt>
                <c:pt idx="132">
                  <c:v>43326</c:v>
                </c:pt>
                <c:pt idx="133">
                  <c:v>43327</c:v>
                </c:pt>
                <c:pt idx="134">
                  <c:v>43328</c:v>
                </c:pt>
                <c:pt idx="135">
                  <c:v>43329</c:v>
                </c:pt>
                <c:pt idx="136">
                  <c:v>43332</c:v>
                </c:pt>
                <c:pt idx="137">
                  <c:v>43333</c:v>
                </c:pt>
                <c:pt idx="138">
                  <c:v>43334</c:v>
                </c:pt>
                <c:pt idx="139">
                  <c:v>43335</c:v>
                </c:pt>
                <c:pt idx="140">
                  <c:v>43336</c:v>
                </c:pt>
                <c:pt idx="141">
                  <c:v>43339</c:v>
                </c:pt>
                <c:pt idx="142">
                  <c:v>43340</c:v>
                </c:pt>
                <c:pt idx="143">
                  <c:v>43341</c:v>
                </c:pt>
                <c:pt idx="144">
                  <c:v>43342</c:v>
                </c:pt>
                <c:pt idx="145">
                  <c:v>43343</c:v>
                </c:pt>
                <c:pt idx="146">
                  <c:v>43346</c:v>
                </c:pt>
                <c:pt idx="147">
                  <c:v>43347</c:v>
                </c:pt>
                <c:pt idx="148">
                  <c:v>43348</c:v>
                </c:pt>
                <c:pt idx="149">
                  <c:v>43349</c:v>
                </c:pt>
                <c:pt idx="150">
                  <c:v>43350</c:v>
                </c:pt>
                <c:pt idx="151">
                  <c:v>43353</c:v>
                </c:pt>
                <c:pt idx="152">
                  <c:v>43354</c:v>
                </c:pt>
                <c:pt idx="153">
                  <c:v>43355</c:v>
                </c:pt>
                <c:pt idx="154">
                  <c:v>43356</c:v>
                </c:pt>
                <c:pt idx="155">
                  <c:v>43357</c:v>
                </c:pt>
                <c:pt idx="156">
                  <c:v>43360</c:v>
                </c:pt>
                <c:pt idx="157">
                  <c:v>43361</c:v>
                </c:pt>
                <c:pt idx="158">
                  <c:v>43362</c:v>
                </c:pt>
                <c:pt idx="159">
                  <c:v>43363</c:v>
                </c:pt>
                <c:pt idx="160">
                  <c:v>43364</c:v>
                </c:pt>
                <c:pt idx="161">
                  <c:v>43367</c:v>
                </c:pt>
                <c:pt idx="162">
                  <c:v>43368</c:v>
                </c:pt>
                <c:pt idx="163">
                  <c:v>43369</c:v>
                </c:pt>
                <c:pt idx="164">
                  <c:v>43370</c:v>
                </c:pt>
                <c:pt idx="165">
                  <c:v>43371</c:v>
                </c:pt>
                <c:pt idx="166">
                  <c:v>43374</c:v>
                </c:pt>
                <c:pt idx="167">
                  <c:v>43375</c:v>
                </c:pt>
                <c:pt idx="168">
                  <c:v>43376</c:v>
                </c:pt>
                <c:pt idx="169">
                  <c:v>43377</c:v>
                </c:pt>
                <c:pt idx="170">
                  <c:v>43378</c:v>
                </c:pt>
                <c:pt idx="171">
                  <c:v>43381</c:v>
                </c:pt>
                <c:pt idx="172">
                  <c:v>43382</c:v>
                </c:pt>
                <c:pt idx="173">
                  <c:v>43383</c:v>
                </c:pt>
                <c:pt idx="174">
                  <c:v>43384</c:v>
                </c:pt>
                <c:pt idx="175">
                  <c:v>43385</c:v>
                </c:pt>
                <c:pt idx="176">
                  <c:v>43388</c:v>
                </c:pt>
                <c:pt idx="177">
                  <c:v>43389</c:v>
                </c:pt>
                <c:pt idx="178">
                  <c:v>43390</c:v>
                </c:pt>
                <c:pt idx="179">
                  <c:v>43391</c:v>
                </c:pt>
                <c:pt idx="180">
                  <c:v>43392</c:v>
                </c:pt>
                <c:pt idx="181">
                  <c:v>43395</c:v>
                </c:pt>
                <c:pt idx="182">
                  <c:v>43396</c:v>
                </c:pt>
                <c:pt idx="183">
                  <c:v>43397</c:v>
                </c:pt>
                <c:pt idx="184">
                  <c:v>43398</c:v>
                </c:pt>
                <c:pt idx="185">
                  <c:v>43399</c:v>
                </c:pt>
                <c:pt idx="186">
                  <c:v>43402</c:v>
                </c:pt>
                <c:pt idx="187">
                  <c:v>43403</c:v>
                </c:pt>
                <c:pt idx="188">
                  <c:v>43404</c:v>
                </c:pt>
                <c:pt idx="189">
                  <c:v>43405</c:v>
                </c:pt>
                <c:pt idx="190">
                  <c:v>43406</c:v>
                </c:pt>
                <c:pt idx="191">
                  <c:v>43409</c:v>
                </c:pt>
                <c:pt idx="192">
                  <c:v>43410</c:v>
                </c:pt>
                <c:pt idx="193">
                  <c:v>43411</c:v>
                </c:pt>
                <c:pt idx="194">
                  <c:v>43412</c:v>
                </c:pt>
                <c:pt idx="195">
                  <c:v>43413</c:v>
                </c:pt>
                <c:pt idx="196">
                  <c:v>43416</c:v>
                </c:pt>
                <c:pt idx="197">
                  <c:v>43417</c:v>
                </c:pt>
                <c:pt idx="198">
                  <c:v>43418</c:v>
                </c:pt>
                <c:pt idx="199">
                  <c:v>43419</c:v>
                </c:pt>
                <c:pt idx="200">
                  <c:v>43420</c:v>
                </c:pt>
                <c:pt idx="201">
                  <c:v>43423</c:v>
                </c:pt>
                <c:pt idx="202">
                  <c:v>43424</c:v>
                </c:pt>
                <c:pt idx="203">
                  <c:v>43425</c:v>
                </c:pt>
                <c:pt idx="204">
                  <c:v>43426</c:v>
                </c:pt>
                <c:pt idx="205">
                  <c:v>43427</c:v>
                </c:pt>
                <c:pt idx="206">
                  <c:v>43430</c:v>
                </c:pt>
                <c:pt idx="207">
                  <c:v>43431</c:v>
                </c:pt>
                <c:pt idx="208">
                  <c:v>43432</c:v>
                </c:pt>
                <c:pt idx="209">
                  <c:v>43433</c:v>
                </c:pt>
                <c:pt idx="210">
                  <c:v>43434</c:v>
                </c:pt>
                <c:pt idx="211">
                  <c:v>43437</c:v>
                </c:pt>
                <c:pt idx="212">
                  <c:v>43438</c:v>
                </c:pt>
                <c:pt idx="213">
                  <c:v>43439</c:v>
                </c:pt>
                <c:pt idx="214">
                  <c:v>43440</c:v>
                </c:pt>
                <c:pt idx="215">
                  <c:v>43441</c:v>
                </c:pt>
                <c:pt idx="216">
                  <c:v>43444</c:v>
                </c:pt>
                <c:pt idx="217">
                  <c:v>43445</c:v>
                </c:pt>
                <c:pt idx="218">
                  <c:v>43446</c:v>
                </c:pt>
                <c:pt idx="219">
                  <c:v>43447</c:v>
                </c:pt>
                <c:pt idx="220">
                  <c:v>43448</c:v>
                </c:pt>
                <c:pt idx="221">
                  <c:v>43451</c:v>
                </c:pt>
                <c:pt idx="222">
                  <c:v>43452</c:v>
                </c:pt>
                <c:pt idx="223">
                  <c:v>43453</c:v>
                </c:pt>
                <c:pt idx="224">
                  <c:v>43454</c:v>
                </c:pt>
                <c:pt idx="225">
                  <c:v>43455</c:v>
                </c:pt>
                <c:pt idx="226">
                  <c:v>43458</c:v>
                </c:pt>
                <c:pt idx="227">
                  <c:v>43459</c:v>
                </c:pt>
                <c:pt idx="228">
                  <c:v>43460</c:v>
                </c:pt>
                <c:pt idx="229">
                  <c:v>43461</c:v>
                </c:pt>
                <c:pt idx="230">
                  <c:v>43462</c:v>
                </c:pt>
                <c:pt idx="231">
                  <c:v>43465</c:v>
                </c:pt>
                <c:pt idx="232">
                  <c:v>43466</c:v>
                </c:pt>
                <c:pt idx="233">
                  <c:v>43467</c:v>
                </c:pt>
                <c:pt idx="234">
                  <c:v>43468</c:v>
                </c:pt>
                <c:pt idx="235">
                  <c:v>43469</c:v>
                </c:pt>
                <c:pt idx="236">
                  <c:v>43472</c:v>
                </c:pt>
                <c:pt idx="237">
                  <c:v>43473</c:v>
                </c:pt>
                <c:pt idx="238">
                  <c:v>43474</c:v>
                </c:pt>
                <c:pt idx="239">
                  <c:v>43475</c:v>
                </c:pt>
                <c:pt idx="240">
                  <c:v>43476</c:v>
                </c:pt>
                <c:pt idx="241">
                  <c:v>43479</c:v>
                </c:pt>
                <c:pt idx="242">
                  <c:v>43480</c:v>
                </c:pt>
                <c:pt idx="243">
                  <c:v>43481</c:v>
                </c:pt>
                <c:pt idx="244">
                  <c:v>43482</c:v>
                </c:pt>
                <c:pt idx="245">
                  <c:v>43483</c:v>
                </c:pt>
                <c:pt idx="246">
                  <c:v>43486</c:v>
                </c:pt>
                <c:pt idx="247">
                  <c:v>43487</c:v>
                </c:pt>
                <c:pt idx="248">
                  <c:v>43488</c:v>
                </c:pt>
                <c:pt idx="249">
                  <c:v>43489</c:v>
                </c:pt>
                <c:pt idx="250">
                  <c:v>43490</c:v>
                </c:pt>
                <c:pt idx="251">
                  <c:v>43493</c:v>
                </c:pt>
                <c:pt idx="252">
                  <c:v>43494</c:v>
                </c:pt>
                <c:pt idx="253">
                  <c:v>43495</c:v>
                </c:pt>
                <c:pt idx="254">
                  <c:v>43496</c:v>
                </c:pt>
                <c:pt idx="255">
                  <c:v>43497</c:v>
                </c:pt>
                <c:pt idx="256">
                  <c:v>43500</c:v>
                </c:pt>
                <c:pt idx="257">
                  <c:v>43501</c:v>
                </c:pt>
                <c:pt idx="258">
                  <c:v>43502</c:v>
                </c:pt>
                <c:pt idx="259">
                  <c:v>43503</c:v>
                </c:pt>
                <c:pt idx="260">
                  <c:v>43504</c:v>
                </c:pt>
                <c:pt idx="261">
                  <c:v>43507</c:v>
                </c:pt>
                <c:pt idx="262">
                  <c:v>43508</c:v>
                </c:pt>
                <c:pt idx="263">
                  <c:v>43509</c:v>
                </c:pt>
                <c:pt idx="264">
                  <c:v>43510</c:v>
                </c:pt>
                <c:pt idx="265">
                  <c:v>43511</c:v>
                </c:pt>
                <c:pt idx="266">
                  <c:v>43514</c:v>
                </c:pt>
                <c:pt idx="267">
                  <c:v>43515</c:v>
                </c:pt>
                <c:pt idx="268">
                  <c:v>43516</c:v>
                </c:pt>
                <c:pt idx="269">
                  <c:v>43517</c:v>
                </c:pt>
                <c:pt idx="270">
                  <c:v>43518</c:v>
                </c:pt>
                <c:pt idx="271">
                  <c:v>43521</c:v>
                </c:pt>
                <c:pt idx="272">
                  <c:v>43522</c:v>
                </c:pt>
                <c:pt idx="273">
                  <c:v>43523</c:v>
                </c:pt>
                <c:pt idx="274">
                  <c:v>43524</c:v>
                </c:pt>
                <c:pt idx="275">
                  <c:v>43525</c:v>
                </c:pt>
                <c:pt idx="276">
                  <c:v>43528</c:v>
                </c:pt>
                <c:pt idx="277">
                  <c:v>43529</c:v>
                </c:pt>
                <c:pt idx="278">
                  <c:v>43530</c:v>
                </c:pt>
                <c:pt idx="279">
                  <c:v>43531</c:v>
                </c:pt>
                <c:pt idx="280">
                  <c:v>43532</c:v>
                </c:pt>
                <c:pt idx="281">
                  <c:v>43535</c:v>
                </c:pt>
                <c:pt idx="282">
                  <c:v>43536</c:v>
                </c:pt>
                <c:pt idx="283">
                  <c:v>43537</c:v>
                </c:pt>
                <c:pt idx="284">
                  <c:v>43538</c:v>
                </c:pt>
                <c:pt idx="285">
                  <c:v>43539</c:v>
                </c:pt>
                <c:pt idx="286">
                  <c:v>43542</c:v>
                </c:pt>
                <c:pt idx="287">
                  <c:v>43543</c:v>
                </c:pt>
                <c:pt idx="288">
                  <c:v>43544</c:v>
                </c:pt>
                <c:pt idx="289">
                  <c:v>43545</c:v>
                </c:pt>
                <c:pt idx="290">
                  <c:v>43546</c:v>
                </c:pt>
                <c:pt idx="291">
                  <c:v>43549</c:v>
                </c:pt>
                <c:pt idx="292">
                  <c:v>43550</c:v>
                </c:pt>
                <c:pt idx="293">
                  <c:v>43551</c:v>
                </c:pt>
                <c:pt idx="294">
                  <c:v>43552</c:v>
                </c:pt>
                <c:pt idx="295">
                  <c:v>43553</c:v>
                </c:pt>
                <c:pt idx="296">
                  <c:v>43556</c:v>
                </c:pt>
                <c:pt idx="297">
                  <c:v>43557</c:v>
                </c:pt>
                <c:pt idx="298">
                  <c:v>43558</c:v>
                </c:pt>
                <c:pt idx="299">
                  <c:v>43559</c:v>
                </c:pt>
                <c:pt idx="300">
                  <c:v>43560</c:v>
                </c:pt>
                <c:pt idx="301">
                  <c:v>43563</c:v>
                </c:pt>
                <c:pt idx="302">
                  <c:v>43564</c:v>
                </c:pt>
                <c:pt idx="303">
                  <c:v>43565</c:v>
                </c:pt>
                <c:pt idx="304">
                  <c:v>43566</c:v>
                </c:pt>
                <c:pt idx="305">
                  <c:v>43567</c:v>
                </c:pt>
                <c:pt idx="306">
                  <c:v>43570</c:v>
                </c:pt>
                <c:pt idx="307">
                  <c:v>43571</c:v>
                </c:pt>
                <c:pt idx="308">
                  <c:v>43572</c:v>
                </c:pt>
                <c:pt idx="309">
                  <c:v>43573</c:v>
                </c:pt>
                <c:pt idx="310">
                  <c:v>43574</c:v>
                </c:pt>
                <c:pt idx="311">
                  <c:v>43577</c:v>
                </c:pt>
                <c:pt idx="312">
                  <c:v>43578</c:v>
                </c:pt>
                <c:pt idx="313">
                  <c:v>43579</c:v>
                </c:pt>
                <c:pt idx="314">
                  <c:v>43580</c:v>
                </c:pt>
                <c:pt idx="315">
                  <c:v>43581</c:v>
                </c:pt>
                <c:pt idx="316">
                  <c:v>43584</c:v>
                </c:pt>
                <c:pt idx="317">
                  <c:v>43585</c:v>
                </c:pt>
                <c:pt idx="318">
                  <c:v>43586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43623</c:v>
                </c:pt>
                <c:pt idx="346">
                  <c:v>43626</c:v>
                </c:pt>
                <c:pt idx="347">
                  <c:v>43627</c:v>
                </c:pt>
                <c:pt idx="348">
                  <c:v>43628</c:v>
                </c:pt>
                <c:pt idx="349">
                  <c:v>43629</c:v>
                </c:pt>
                <c:pt idx="350">
                  <c:v>43630</c:v>
                </c:pt>
                <c:pt idx="351">
                  <c:v>43633</c:v>
                </c:pt>
                <c:pt idx="352">
                  <c:v>43634</c:v>
                </c:pt>
                <c:pt idx="353">
                  <c:v>43635</c:v>
                </c:pt>
                <c:pt idx="354">
                  <c:v>43636</c:v>
                </c:pt>
                <c:pt idx="355">
                  <c:v>43637</c:v>
                </c:pt>
                <c:pt idx="356">
                  <c:v>43640</c:v>
                </c:pt>
                <c:pt idx="357">
                  <c:v>43641</c:v>
                </c:pt>
                <c:pt idx="358">
                  <c:v>43642</c:v>
                </c:pt>
                <c:pt idx="359">
                  <c:v>43643</c:v>
                </c:pt>
                <c:pt idx="360">
                  <c:v>43644</c:v>
                </c:pt>
                <c:pt idx="361">
                  <c:v>43647</c:v>
                </c:pt>
                <c:pt idx="362">
                  <c:v>43648</c:v>
                </c:pt>
                <c:pt idx="363">
                  <c:v>43649</c:v>
                </c:pt>
                <c:pt idx="364">
                  <c:v>43650</c:v>
                </c:pt>
                <c:pt idx="365">
                  <c:v>43651</c:v>
                </c:pt>
                <c:pt idx="366">
                  <c:v>43654</c:v>
                </c:pt>
                <c:pt idx="367">
                  <c:v>43655</c:v>
                </c:pt>
                <c:pt idx="368">
                  <c:v>43656</c:v>
                </c:pt>
                <c:pt idx="369">
                  <c:v>43657</c:v>
                </c:pt>
                <c:pt idx="370">
                  <c:v>43658</c:v>
                </c:pt>
                <c:pt idx="371">
                  <c:v>43661</c:v>
                </c:pt>
                <c:pt idx="372">
                  <c:v>43662</c:v>
                </c:pt>
                <c:pt idx="373">
                  <c:v>43663</c:v>
                </c:pt>
                <c:pt idx="374">
                  <c:v>43664</c:v>
                </c:pt>
                <c:pt idx="375">
                  <c:v>43665</c:v>
                </c:pt>
                <c:pt idx="376">
                  <c:v>43668</c:v>
                </c:pt>
                <c:pt idx="377">
                  <c:v>43669</c:v>
                </c:pt>
                <c:pt idx="378">
                  <c:v>43670</c:v>
                </c:pt>
                <c:pt idx="379">
                  <c:v>43671</c:v>
                </c:pt>
                <c:pt idx="380">
                  <c:v>43672</c:v>
                </c:pt>
                <c:pt idx="381">
                  <c:v>43675</c:v>
                </c:pt>
                <c:pt idx="382">
                  <c:v>43676</c:v>
                </c:pt>
                <c:pt idx="383">
                  <c:v>43677</c:v>
                </c:pt>
                <c:pt idx="384">
                  <c:v>43678</c:v>
                </c:pt>
                <c:pt idx="385">
                  <c:v>43679</c:v>
                </c:pt>
                <c:pt idx="386">
                  <c:v>43682</c:v>
                </c:pt>
                <c:pt idx="387">
                  <c:v>43683</c:v>
                </c:pt>
                <c:pt idx="388">
                  <c:v>43684</c:v>
                </c:pt>
                <c:pt idx="389">
                  <c:v>43685</c:v>
                </c:pt>
                <c:pt idx="390">
                  <c:v>43686</c:v>
                </c:pt>
                <c:pt idx="391">
                  <c:v>43689</c:v>
                </c:pt>
                <c:pt idx="392">
                  <c:v>43690</c:v>
                </c:pt>
                <c:pt idx="393">
                  <c:v>43691</c:v>
                </c:pt>
                <c:pt idx="394">
                  <c:v>43692</c:v>
                </c:pt>
                <c:pt idx="395">
                  <c:v>43693</c:v>
                </c:pt>
                <c:pt idx="396">
                  <c:v>43696</c:v>
                </c:pt>
                <c:pt idx="397">
                  <c:v>43697</c:v>
                </c:pt>
                <c:pt idx="398">
                  <c:v>43698</c:v>
                </c:pt>
                <c:pt idx="399">
                  <c:v>43699</c:v>
                </c:pt>
                <c:pt idx="400">
                  <c:v>43700</c:v>
                </c:pt>
                <c:pt idx="401">
                  <c:v>43703</c:v>
                </c:pt>
                <c:pt idx="402">
                  <c:v>43704</c:v>
                </c:pt>
                <c:pt idx="403">
                  <c:v>43705</c:v>
                </c:pt>
                <c:pt idx="404">
                  <c:v>43706</c:v>
                </c:pt>
                <c:pt idx="405">
                  <c:v>43707</c:v>
                </c:pt>
                <c:pt idx="406">
                  <c:v>43710</c:v>
                </c:pt>
                <c:pt idx="407">
                  <c:v>43711</c:v>
                </c:pt>
                <c:pt idx="408">
                  <c:v>43712</c:v>
                </c:pt>
                <c:pt idx="409">
                  <c:v>43713</c:v>
                </c:pt>
                <c:pt idx="410">
                  <c:v>43714</c:v>
                </c:pt>
                <c:pt idx="411">
                  <c:v>43717</c:v>
                </c:pt>
                <c:pt idx="412">
                  <c:v>43718</c:v>
                </c:pt>
                <c:pt idx="413">
                  <c:v>43719</c:v>
                </c:pt>
                <c:pt idx="414">
                  <c:v>43720</c:v>
                </c:pt>
                <c:pt idx="415">
                  <c:v>43721</c:v>
                </c:pt>
                <c:pt idx="416">
                  <c:v>43724</c:v>
                </c:pt>
                <c:pt idx="417">
                  <c:v>43725</c:v>
                </c:pt>
                <c:pt idx="418">
                  <c:v>43726</c:v>
                </c:pt>
                <c:pt idx="419">
                  <c:v>43727</c:v>
                </c:pt>
                <c:pt idx="420">
                  <c:v>43728</c:v>
                </c:pt>
                <c:pt idx="421">
                  <c:v>43731</c:v>
                </c:pt>
                <c:pt idx="422">
                  <c:v>43732</c:v>
                </c:pt>
                <c:pt idx="423">
                  <c:v>43733</c:v>
                </c:pt>
                <c:pt idx="424">
                  <c:v>43734</c:v>
                </c:pt>
                <c:pt idx="425">
                  <c:v>43735</c:v>
                </c:pt>
                <c:pt idx="426">
                  <c:v>43738</c:v>
                </c:pt>
                <c:pt idx="427">
                  <c:v>43739</c:v>
                </c:pt>
                <c:pt idx="428">
                  <c:v>43740</c:v>
                </c:pt>
                <c:pt idx="429">
                  <c:v>43741</c:v>
                </c:pt>
                <c:pt idx="430">
                  <c:v>43742</c:v>
                </c:pt>
                <c:pt idx="431">
                  <c:v>43745</c:v>
                </c:pt>
                <c:pt idx="432">
                  <c:v>43746</c:v>
                </c:pt>
                <c:pt idx="433">
                  <c:v>43747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43824</c:v>
                </c:pt>
                <c:pt idx="489">
                  <c:v>43825</c:v>
                </c:pt>
                <c:pt idx="490">
                  <c:v>43826</c:v>
                </c:pt>
                <c:pt idx="491">
                  <c:v>43829</c:v>
                </c:pt>
                <c:pt idx="492">
                  <c:v>43830</c:v>
                </c:pt>
                <c:pt idx="493">
                  <c:v>43831</c:v>
                </c:pt>
                <c:pt idx="494">
                  <c:v>43832</c:v>
                </c:pt>
                <c:pt idx="495">
                  <c:v>43833</c:v>
                </c:pt>
                <c:pt idx="496">
                  <c:v>43836</c:v>
                </c:pt>
                <c:pt idx="497">
                  <c:v>43837</c:v>
                </c:pt>
                <c:pt idx="498">
                  <c:v>43838</c:v>
                </c:pt>
                <c:pt idx="499">
                  <c:v>43839</c:v>
                </c:pt>
                <c:pt idx="500">
                  <c:v>43840</c:v>
                </c:pt>
                <c:pt idx="501">
                  <c:v>43843</c:v>
                </c:pt>
                <c:pt idx="502">
                  <c:v>43844</c:v>
                </c:pt>
                <c:pt idx="503">
                  <c:v>43845</c:v>
                </c:pt>
                <c:pt idx="504">
                  <c:v>43846</c:v>
                </c:pt>
                <c:pt idx="505">
                  <c:v>43847</c:v>
                </c:pt>
                <c:pt idx="506">
                  <c:v>43850</c:v>
                </c:pt>
                <c:pt idx="507">
                  <c:v>43851</c:v>
                </c:pt>
                <c:pt idx="508">
                  <c:v>43852</c:v>
                </c:pt>
                <c:pt idx="509">
                  <c:v>43853</c:v>
                </c:pt>
                <c:pt idx="510">
                  <c:v>43854</c:v>
                </c:pt>
                <c:pt idx="511">
                  <c:v>43857</c:v>
                </c:pt>
                <c:pt idx="512">
                  <c:v>43858</c:v>
                </c:pt>
                <c:pt idx="513">
                  <c:v>43859</c:v>
                </c:pt>
                <c:pt idx="514">
                  <c:v>43860</c:v>
                </c:pt>
                <c:pt idx="515">
                  <c:v>43861</c:v>
                </c:pt>
                <c:pt idx="516">
                  <c:v>43864</c:v>
                </c:pt>
                <c:pt idx="517">
                  <c:v>43865</c:v>
                </c:pt>
                <c:pt idx="518">
                  <c:v>43866</c:v>
                </c:pt>
                <c:pt idx="519">
                  <c:v>43867</c:v>
                </c:pt>
                <c:pt idx="520">
                  <c:v>43868</c:v>
                </c:pt>
                <c:pt idx="521">
                  <c:v>43871</c:v>
                </c:pt>
                <c:pt idx="522">
                  <c:v>43872</c:v>
                </c:pt>
                <c:pt idx="523">
                  <c:v>43873</c:v>
                </c:pt>
                <c:pt idx="524">
                  <c:v>43874</c:v>
                </c:pt>
                <c:pt idx="525">
                  <c:v>43875</c:v>
                </c:pt>
                <c:pt idx="526">
                  <c:v>43878</c:v>
                </c:pt>
                <c:pt idx="527">
                  <c:v>43879</c:v>
                </c:pt>
                <c:pt idx="528">
                  <c:v>43880</c:v>
                </c:pt>
                <c:pt idx="529">
                  <c:v>43881</c:v>
                </c:pt>
                <c:pt idx="530">
                  <c:v>43882</c:v>
                </c:pt>
                <c:pt idx="531">
                  <c:v>43885</c:v>
                </c:pt>
                <c:pt idx="532">
                  <c:v>43886</c:v>
                </c:pt>
                <c:pt idx="533">
                  <c:v>43887</c:v>
                </c:pt>
                <c:pt idx="534">
                  <c:v>43888</c:v>
                </c:pt>
                <c:pt idx="535">
                  <c:v>43889</c:v>
                </c:pt>
                <c:pt idx="536">
                  <c:v>43892</c:v>
                </c:pt>
                <c:pt idx="537">
                  <c:v>43893</c:v>
                </c:pt>
                <c:pt idx="538">
                  <c:v>43894</c:v>
                </c:pt>
                <c:pt idx="539">
                  <c:v>43895</c:v>
                </c:pt>
                <c:pt idx="540">
                  <c:v>43896</c:v>
                </c:pt>
                <c:pt idx="541">
                  <c:v>43899</c:v>
                </c:pt>
                <c:pt idx="542">
                  <c:v>43900</c:v>
                </c:pt>
                <c:pt idx="543">
                  <c:v>43901</c:v>
                </c:pt>
                <c:pt idx="544">
                  <c:v>43902</c:v>
                </c:pt>
                <c:pt idx="545">
                  <c:v>43903</c:v>
                </c:pt>
                <c:pt idx="546">
                  <c:v>43906</c:v>
                </c:pt>
                <c:pt idx="547">
                  <c:v>43907</c:v>
                </c:pt>
                <c:pt idx="548">
                  <c:v>43908</c:v>
                </c:pt>
                <c:pt idx="549">
                  <c:v>43909</c:v>
                </c:pt>
                <c:pt idx="550">
                  <c:v>43910</c:v>
                </c:pt>
                <c:pt idx="551">
                  <c:v>43913</c:v>
                </c:pt>
                <c:pt idx="552">
                  <c:v>43914</c:v>
                </c:pt>
                <c:pt idx="553">
                  <c:v>43915</c:v>
                </c:pt>
                <c:pt idx="554">
                  <c:v>43916</c:v>
                </c:pt>
                <c:pt idx="555">
                  <c:v>43917</c:v>
                </c:pt>
                <c:pt idx="556">
                  <c:v>43920</c:v>
                </c:pt>
                <c:pt idx="557">
                  <c:v>43921</c:v>
                </c:pt>
                <c:pt idx="558">
                  <c:v>43922</c:v>
                </c:pt>
                <c:pt idx="559">
                  <c:v>43923</c:v>
                </c:pt>
                <c:pt idx="560">
                  <c:v>43924</c:v>
                </c:pt>
                <c:pt idx="561">
                  <c:v>43927</c:v>
                </c:pt>
                <c:pt idx="562">
                  <c:v>43928</c:v>
                </c:pt>
                <c:pt idx="563">
                  <c:v>43929</c:v>
                </c:pt>
                <c:pt idx="564">
                  <c:v>43930</c:v>
                </c:pt>
                <c:pt idx="565">
                  <c:v>43931</c:v>
                </c:pt>
                <c:pt idx="566">
                  <c:v>43934</c:v>
                </c:pt>
                <c:pt idx="567">
                  <c:v>43935</c:v>
                </c:pt>
                <c:pt idx="568">
                  <c:v>43936</c:v>
                </c:pt>
                <c:pt idx="569">
                  <c:v>43937</c:v>
                </c:pt>
                <c:pt idx="570">
                  <c:v>43938</c:v>
                </c:pt>
                <c:pt idx="571">
                  <c:v>43941</c:v>
                </c:pt>
                <c:pt idx="572">
                  <c:v>43942</c:v>
                </c:pt>
                <c:pt idx="573">
                  <c:v>43943</c:v>
                </c:pt>
                <c:pt idx="574">
                  <c:v>43944</c:v>
                </c:pt>
                <c:pt idx="575">
                  <c:v>43945</c:v>
                </c:pt>
                <c:pt idx="576">
                  <c:v>43948</c:v>
                </c:pt>
                <c:pt idx="577">
                  <c:v>43949</c:v>
                </c:pt>
                <c:pt idx="578">
                  <c:v>43950</c:v>
                </c:pt>
                <c:pt idx="579">
                  <c:v>43951</c:v>
                </c:pt>
                <c:pt idx="580">
                  <c:v>43952</c:v>
                </c:pt>
                <c:pt idx="581">
                  <c:v>43955</c:v>
                </c:pt>
                <c:pt idx="582">
                  <c:v>43956</c:v>
                </c:pt>
                <c:pt idx="583">
                  <c:v>43957</c:v>
                </c:pt>
                <c:pt idx="584">
                  <c:v>43958</c:v>
                </c:pt>
                <c:pt idx="585">
                  <c:v>43959</c:v>
                </c:pt>
                <c:pt idx="586">
                  <c:v>43962</c:v>
                </c:pt>
                <c:pt idx="587">
                  <c:v>43963</c:v>
                </c:pt>
                <c:pt idx="588">
                  <c:v>43964</c:v>
                </c:pt>
                <c:pt idx="589">
                  <c:v>43965</c:v>
                </c:pt>
                <c:pt idx="590">
                  <c:v>43966</c:v>
                </c:pt>
                <c:pt idx="591">
                  <c:v>43969</c:v>
                </c:pt>
                <c:pt idx="592">
                  <c:v>43970</c:v>
                </c:pt>
                <c:pt idx="593">
                  <c:v>43971</c:v>
                </c:pt>
                <c:pt idx="594">
                  <c:v>43972</c:v>
                </c:pt>
                <c:pt idx="595">
                  <c:v>43973</c:v>
                </c:pt>
                <c:pt idx="596">
                  <c:v>43976</c:v>
                </c:pt>
                <c:pt idx="597">
                  <c:v>43977</c:v>
                </c:pt>
                <c:pt idx="598">
                  <c:v>43978</c:v>
                </c:pt>
                <c:pt idx="599">
                  <c:v>43979</c:v>
                </c:pt>
                <c:pt idx="600">
                  <c:v>43980</c:v>
                </c:pt>
                <c:pt idx="601">
                  <c:v>43983</c:v>
                </c:pt>
                <c:pt idx="602">
                  <c:v>43984</c:v>
                </c:pt>
                <c:pt idx="603">
                  <c:v>43985</c:v>
                </c:pt>
                <c:pt idx="604">
                  <c:v>43986</c:v>
                </c:pt>
                <c:pt idx="605">
                  <c:v>43987</c:v>
                </c:pt>
                <c:pt idx="606">
                  <c:v>43990</c:v>
                </c:pt>
                <c:pt idx="607">
                  <c:v>43991</c:v>
                </c:pt>
                <c:pt idx="608">
                  <c:v>43992</c:v>
                </c:pt>
                <c:pt idx="609">
                  <c:v>43993</c:v>
                </c:pt>
                <c:pt idx="610">
                  <c:v>43994</c:v>
                </c:pt>
                <c:pt idx="611">
                  <c:v>43997</c:v>
                </c:pt>
                <c:pt idx="612">
                  <c:v>43998</c:v>
                </c:pt>
                <c:pt idx="613">
                  <c:v>43999</c:v>
                </c:pt>
                <c:pt idx="614">
                  <c:v>44000</c:v>
                </c:pt>
                <c:pt idx="615">
                  <c:v>44001</c:v>
                </c:pt>
                <c:pt idx="616">
                  <c:v>44004</c:v>
                </c:pt>
                <c:pt idx="617">
                  <c:v>44005</c:v>
                </c:pt>
                <c:pt idx="618">
                  <c:v>44006</c:v>
                </c:pt>
                <c:pt idx="619">
                  <c:v>44007</c:v>
                </c:pt>
                <c:pt idx="620">
                  <c:v>44008</c:v>
                </c:pt>
                <c:pt idx="621">
                  <c:v>44011</c:v>
                </c:pt>
                <c:pt idx="622">
                  <c:v>44012</c:v>
                </c:pt>
                <c:pt idx="623">
                  <c:v>44013</c:v>
                </c:pt>
                <c:pt idx="624">
                  <c:v>44014</c:v>
                </c:pt>
                <c:pt idx="625">
                  <c:v>44015</c:v>
                </c:pt>
                <c:pt idx="626">
                  <c:v>44018</c:v>
                </c:pt>
                <c:pt idx="627">
                  <c:v>44019</c:v>
                </c:pt>
                <c:pt idx="628">
                  <c:v>44020</c:v>
                </c:pt>
                <c:pt idx="629">
                  <c:v>44021</c:v>
                </c:pt>
                <c:pt idx="630">
                  <c:v>44022</c:v>
                </c:pt>
                <c:pt idx="631">
                  <c:v>44025</c:v>
                </c:pt>
                <c:pt idx="632">
                  <c:v>44026</c:v>
                </c:pt>
                <c:pt idx="633">
                  <c:v>44027</c:v>
                </c:pt>
                <c:pt idx="634">
                  <c:v>44028</c:v>
                </c:pt>
                <c:pt idx="635">
                  <c:v>44029</c:v>
                </c:pt>
                <c:pt idx="636">
                  <c:v>44032</c:v>
                </c:pt>
                <c:pt idx="637">
                  <c:v>44033</c:v>
                </c:pt>
                <c:pt idx="638">
                  <c:v>44034</c:v>
                </c:pt>
                <c:pt idx="639">
                  <c:v>44035</c:v>
                </c:pt>
                <c:pt idx="640">
                  <c:v>44036</c:v>
                </c:pt>
                <c:pt idx="641">
                  <c:v>44039</c:v>
                </c:pt>
                <c:pt idx="642">
                  <c:v>44040</c:v>
                </c:pt>
                <c:pt idx="643">
                  <c:v>44041</c:v>
                </c:pt>
                <c:pt idx="644">
                  <c:v>44042</c:v>
                </c:pt>
                <c:pt idx="645">
                  <c:v>44043</c:v>
                </c:pt>
                <c:pt idx="646">
                  <c:v>44046</c:v>
                </c:pt>
                <c:pt idx="647">
                  <c:v>44047</c:v>
                </c:pt>
                <c:pt idx="648">
                  <c:v>44048</c:v>
                </c:pt>
                <c:pt idx="649">
                  <c:v>44049</c:v>
                </c:pt>
                <c:pt idx="650">
                  <c:v>44050</c:v>
                </c:pt>
                <c:pt idx="651">
                  <c:v>44053</c:v>
                </c:pt>
                <c:pt idx="652">
                  <c:v>44054</c:v>
                </c:pt>
                <c:pt idx="653">
                  <c:v>44055</c:v>
                </c:pt>
                <c:pt idx="654">
                  <c:v>44056</c:v>
                </c:pt>
                <c:pt idx="655">
                  <c:v>44057</c:v>
                </c:pt>
                <c:pt idx="656">
                  <c:v>44060</c:v>
                </c:pt>
                <c:pt idx="657">
                  <c:v>44061</c:v>
                </c:pt>
                <c:pt idx="658">
                  <c:v>44062</c:v>
                </c:pt>
                <c:pt idx="659">
                  <c:v>44063</c:v>
                </c:pt>
                <c:pt idx="660">
                  <c:v>44064</c:v>
                </c:pt>
                <c:pt idx="661">
                  <c:v>44067</c:v>
                </c:pt>
                <c:pt idx="662">
                  <c:v>44068</c:v>
                </c:pt>
                <c:pt idx="663">
                  <c:v>44069</c:v>
                </c:pt>
                <c:pt idx="664">
                  <c:v>44070</c:v>
                </c:pt>
                <c:pt idx="665">
                  <c:v>44071</c:v>
                </c:pt>
                <c:pt idx="666">
                  <c:v>44074</c:v>
                </c:pt>
                <c:pt idx="667">
                  <c:v>44075</c:v>
                </c:pt>
                <c:pt idx="668">
                  <c:v>44076</c:v>
                </c:pt>
                <c:pt idx="669">
                  <c:v>44077</c:v>
                </c:pt>
                <c:pt idx="670">
                  <c:v>44078</c:v>
                </c:pt>
                <c:pt idx="671">
                  <c:v>44081</c:v>
                </c:pt>
                <c:pt idx="672">
                  <c:v>44082</c:v>
                </c:pt>
                <c:pt idx="673">
                  <c:v>44083</c:v>
                </c:pt>
                <c:pt idx="674">
                  <c:v>44084</c:v>
                </c:pt>
                <c:pt idx="675">
                  <c:v>44085</c:v>
                </c:pt>
                <c:pt idx="676">
                  <c:v>44088</c:v>
                </c:pt>
                <c:pt idx="677">
                  <c:v>44089</c:v>
                </c:pt>
                <c:pt idx="678">
                  <c:v>44090</c:v>
                </c:pt>
                <c:pt idx="679">
                  <c:v>44091</c:v>
                </c:pt>
                <c:pt idx="680">
                  <c:v>44092</c:v>
                </c:pt>
                <c:pt idx="681">
                  <c:v>44095</c:v>
                </c:pt>
                <c:pt idx="682">
                  <c:v>44096</c:v>
                </c:pt>
                <c:pt idx="683">
                  <c:v>44097</c:v>
                </c:pt>
                <c:pt idx="684">
                  <c:v>44098</c:v>
                </c:pt>
                <c:pt idx="685">
                  <c:v>44099</c:v>
                </c:pt>
                <c:pt idx="686">
                  <c:v>44102</c:v>
                </c:pt>
                <c:pt idx="687">
                  <c:v>44103</c:v>
                </c:pt>
                <c:pt idx="688">
                  <c:v>44104</c:v>
                </c:pt>
                <c:pt idx="689">
                  <c:v>44105</c:v>
                </c:pt>
                <c:pt idx="690">
                  <c:v>44106</c:v>
                </c:pt>
                <c:pt idx="691">
                  <c:v>44109</c:v>
                </c:pt>
                <c:pt idx="692">
                  <c:v>44110</c:v>
                </c:pt>
                <c:pt idx="693">
                  <c:v>44111</c:v>
                </c:pt>
                <c:pt idx="694">
                  <c:v>44112</c:v>
                </c:pt>
                <c:pt idx="695">
                  <c:v>44113</c:v>
                </c:pt>
                <c:pt idx="696">
                  <c:v>44116</c:v>
                </c:pt>
                <c:pt idx="697">
                  <c:v>44117</c:v>
                </c:pt>
                <c:pt idx="698">
                  <c:v>44118</c:v>
                </c:pt>
                <c:pt idx="699">
                  <c:v>44119</c:v>
                </c:pt>
                <c:pt idx="700">
                  <c:v>44120</c:v>
                </c:pt>
                <c:pt idx="701">
                  <c:v>44123</c:v>
                </c:pt>
                <c:pt idx="702">
                  <c:v>44124</c:v>
                </c:pt>
                <c:pt idx="703">
                  <c:v>44125</c:v>
                </c:pt>
                <c:pt idx="704">
                  <c:v>44126</c:v>
                </c:pt>
                <c:pt idx="705">
                  <c:v>44127</c:v>
                </c:pt>
                <c:pt idx="706">
                  <c:v>44130</c:v>
                </c:pt>
                <c:pt idx="707">
                  <c:v>44131</c:v>
                </c:pt>
                <c:pt idx="708">
                  <c:v>44132</c:v>
                </c:pt>
                <c:pt idx="709">
                  <c:v>44133</c:v>
                </c:pt>
                <c:pt idx="710">
                  <c:v>44134</c:v>
                </c:pt>
                <c:pt idx="711">
                  <c:v>44137</c:v>
                </c:pt>
                <c:pt idx="712">
                  <c:v>44138</c:v>
                </c:pt>
                <c:pt idx="713">
                  <c:v>44139</c:v>
                </c:pt>
                <c:pt idx="714">
                  <c:v>44140</c:v>
                </c:pt>
                <c:pt idx="715">
                  <c:v>44141</c:v>
                </c:pt>
                <c:pt idx="716">
                  <c:v>44144</c:v>
                </c:pt>
                <c:pt idx="717">
                  <c:v>44145</c:v>
                </c:pt>
                <c:pt idx="718">
                  <c:v>44146</c:v>
                </c:pt>
                <c:pt idx="719">
                  <c:v>44147</c:v>
                </c:pt>
                <c:pt idx="720">
                  <c:v>44148</c:v>
                </c:pt>
                <c:pt idx="721">
                  <c:v>44151</c:v>
                </c:pt>
                <c:pt idx="722">
                  <c:v>44152</c:v>
                </c:pt>
                <c:pt idx="723">
                  <c:v>44153</c:v>
                </c:pt>
                <c:pt idx="724">
                  <c:v>44154</c:v>
                </c:pt>
                <c:pt idx="725">
                  <c:v>44155</c:v>
                </c:pt>
                <c:pt idx="726">
                  <c:v>44158</c:v>
                </c:pt>
                <c:pt idx="727">
                  <c:v>44159</c:v>
                </c:pt>
                <c:pt idx="728">
                  <c:v>44160</c:v>
                </c:pt>
                <c:pt idx="729">
                  <c:v>44161</c:v>
                </c:pt>
                <c:pt idx="730">
                  <c:v>44162</c:v>
                </c:pt>
                <c:pt idx="731">
                  <c:v>44165</c:v>
                </c:pt>
                <c:pt idx="732">
                  <c:v>44166</c:v>
                </c:pt>
                <c:pt idx="733">
                  <c:v>44167</c:v>
                </c:pt>
                <c:pt idx="734">
                  <c:v>44168</c:v>
                </c:pt>
                <c:pt idx="735">
                  <c:v>44169</c:v>
                </c:pt>
                <c:pt idx="736">
                  <c:v>44172</c:v>
                </c:pt>
                <c:pt idx="737">
                  <c:v>44173</c:v>
                </c:pt>
                <c:pt idx="738">
                  <c:v>44174</c:v>
                </c:pt>
                <c:pt idx="739">
                  <c:v>44175</c:v>
                </c:pt>
                <c:pt idx="740">
                  <c:v>44176</c:v>
                </c:pt>
                <c:pt idx="741">
                  <c:v>44179</c:v>
                </c:pt>
                <c:pt idx="742">
                  <c:v>44180</c:v>
                </c:pt>
                <c:pt idx="743">
                  <c:v>44181</c:v>
                </c:pt>
                <c:pt idx="744">
                  <c:v>44182</c:v>
                </c:pt>
                <c:pt idx="745">
                  <c:v>44183</c:v>
                </c:pt>
                <c:pt idx="746">
                  <c:v>44186</c:v>
                </c:pt>
                <c:pt idx="747">
                  <c:v>44187</c:v>
                </c:pt>
                <c:pt idx="748">
                  <c:v>44188</c:v>
                </c:pt>
                <c:pt idx="749">
                  <c:v>44189</c:v>
                </c:pt>
                <c:pt idx="750">
                  <c:v>44190</c:v>
                </c:pt>
                <c:pt idx="751">
                  <c:v>44193</c:v>
                </c:pt>
                <c:pt idx="752">
                  <c:v>44194</c:v>
                </c:pt>
                <c:pt idx="753">
                  <c:v>44195</c:v>
                </c:pt>
                <c:pt idx="754">
                  <c:v>44196</c:v>
                </c:pt>
                <c:pt idx="755">
                  <c:v>44197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44214</c:v>
                </c:pt>
                <c:pt idx="767">
                  <c:v>44215</c:v>
                </c:pt>
                <c:pt idx="768">
                  <c:v>44216</c:v>
                </c:pt>
                <c:pt idx="769">
                  <c:v>44217</c:v>
                </c:pt>
                <c:pt idx="770">
                  <c:v>44218</c:v>
                </c:pt>
                <c:pt idx="771">
                  <c:v>44221</c:v>
                </c:pt>
                <c:pt idx="772">
                  <c:v>44222</c:v>
                </c:pt>
                <c:pt idx="773">
                  <c:v>44223</c:v>
                </c:pt>
                <c:pt idx="774">
                  <c:v>44224</c:v>
                </c:pt>
                <c:pt idx="775">
                  <c:v>44225</c:v>
                </c:pt>
                <c:pt idx="776">
                  <c:v>44228</c:v>
                </c:pt>
                <c:pt idx="777">
                  <c:v>44229</c:v>
                </c:pt>
                <c:pt idx="778">
                  <c:v>44230</c:v>
                </c:pt>
                <c:pt idx="779">
                  <c:v>44231</c:v>
                </c:pt>
                <c:pt idx="780">
                  <c:v>44232</c:v>
                </c:pt>
                <c:pt idx="781">
                  <c:v>44235</c:v>
                </c:pt>
                <c:pt idx="782">
                  <c:v>44236</c:v>
                </c:pt>
                <c:pt idx="783">
                  <c:v>44237</c:v>
                </c:pt>
                <c:pt idx="784">
                  <c:v>44238</c:v>
                </c:pt>
                <c:pt idx="785">
                  <c:v>44239</c:v>
                </c:pt>
                <c:pt idx="786">
                  <c:v>44242</c:v>
                </c:pt>
                <c:pt idx="787">
                  <c:v>44243</c:v>
                </c:pt>
                <c:pt idx="788">
                  <c:v>44244</c:v>
                </c:pt>
                <c:pt idx="789">
                  <c:v>44245</c:v>
                </c:pt>
                <c:pt idx="790">
                  <c:v>44246</c:v>
                </c:pt>
                <c:pt idx="791">
                  <c:v>44249</c:v>
                </c:pt>
                <c:pt idx="792">
                  <c:v>44250</c:v>
                </c:pt>
                <c:pt idx="793">
                  <c:v>44251</c:v>
                </c:pt>
                <c:pt idx="794">
                  <c:v>44252</c:v>
                </c:pt>
                <c:pt idx="795">
                  <c:v>44253</c:v>
                </c:pt>
                <c:pt idx="796">
                  <c:v>44256</c:v>
                </c:pt>
                <c:pt idx="797">
                  <c:v>44257</c:v>
                </c:pt>
                <c:pt idx="798">
                  <c:v>44258</c:v>
                </c:pt>
                <c:pt idx="799">
                  <c:v>44259</c:v>
                </c:pt>
                <c:pt idx="800">
                  <c:v>44260</c:v>
                </c:pt>
                <c:pt idx="801">
                  <c:v>44263</c:v>
                </c:pt>
                <c:pt idx="802">
                  <c:v>44264</c:v>
                </c:pt>
                <c:pt idx="803">
                  <c:v>44265</c:v>
                </c:pt>
                <c:pt idx="804">
                  <c:v>44266</c:v>
                </c:pt>
                <c:pt idx="805">
                  <c:v>44267</c:v>
                </c:pt>
                <c:pt idx="806">
                  <c:v>44270</c:v>
                </c:pt>
                <c:pt idx="807">
                  <c:v>44271</c:v>
                </c:pt>
                <c:pt idx="808">
                  <c:v>44272</c:v>
                </c:pt>
                <c:pt idx="809">
                  <c:v>44273</c:v>
                </c:pt>
                <c:pt idx="810">
                  <c:v>44274</c:v>
                </c:pt>
                <c:pt idx="811">
                  <c:v>44277</c:v>
                </c:pt>
                <c:pt idx="812">
                  <c:v>44278</c:v>
                </c:pt>
                <c:pt idx="813">
                  <c:v>44279</c:v>
                </c:pt>
                <c:pt idx="814">
                  <c:v>44280</c:v>
                </c:pt>
                <c:pt idx="815">
                  <c:v>44281</c:v>
                </c:pt>
                <c:pt idx="816">
                  <c:v>44284</c:v>
                </c:pt>
                <c:pt idx="817">
                  <c:v>44285</c:v>
                </c:pt>
                <c:pt idx="818">
                  <c:v>44286</c:v>
                </c:pt>
                <c:pt idx="819">
                  <c:v>44287</c:v>
                </c:pt>
                <c:pt idx="820">
                  <c:v>44288</c:v>
                </c:pt>
                <c:pt idx="821">
                  <c:v>44291</c:v>
                </c:pt>
                <c:pt idx="822">
                  <c:v>44292</c:v>
                </c:pt>
                <c:pt idx="823">
                  <c:v>44293</c:v>
                </c:pt>
                <c:pt idx="824">
                  <c:v>44294</c:v>
                </c:pt>
                <c:pt idx="825">
                  <c:v>44295</c:v>
                </c:pt>
                <c:pt idx="826">
                  <c:v>44298</c:v>
                </c:pt>
                <c:pt idx="827">
                  <c:v>44299</c:v>
                </c:pt>
                <c:pt idx="828">
                  <c:v>44300</c:v>
                </c:pt>
                <c:pt idx="829">
                  <c:v>44301</c:v>
                </c:pt>
                <c:pt idx="830">
                  <c:v>44302</c:v>
                </c:pt>
                <c:pt idx="831">
                  <c:v>44305</c:v>
                </c:pt>
                <c:pt idx="832">
                  <c:v>44306</c:v>
                </c:pt>
                <c:pt idx="833">
                  <c:v>44307</c:v>
                </c:pt>
                <c:pt idx="834">
                  <c:v>44308</c:v>
                </c:pt>
                <c:pt idx="835">
                  <c:v>44309</c:v>
                </c:pt>
                <c:pt idx="836">
                  <c:v>44312</c:v>
                </c:pt>
                <c:pt idx="837">
                  <c:v>44313</c:v>
                </c:pt>
                <c:pt idx="838">
                  <c:v>44314</c:v>
                </c:pt>
                <c:pt idx="839">
                  <c:v>44315</c:v>
                </c:pt>
                <c:pt idx="840">
                  <c:v>44316</c:v>
                </c:pt>
                <c:pt idx="841">
                  <c:v>44319</c:v>
                </c:pt>
                <c:pt idx="842">
                  <c:v>44320</c:v>
                </c:pt>
                <c:pt idx="843">
                  <c:v>44321</c:v>
                </c:pt>
                <c:pt idx="844">
                  <c:v>44322</c:v>
                </c:pt>
                <c:pt idx="845">
                  <c:v>44323</c:v>
                </c:pt>
                <c:pt idx="846">
                  <c:v>44326</c:v>
                </c:pt>
                <c:pt idx="847">
                  <c:v>44327</c:v>
                </c:pt>
                <c:pt idx="848">
                  <c:v>44328</c:v>
                </c:pt>
                <c:pt idx="849">
                  <c:v>44329</c:v>
                </c:pt>
                <c:pt idx="850">
                  <c:v>44330</c:v>
                </c:pt>
                <c:pt idx="851">
                  <c:v>44333</c:v>
                </c:pt>
                <c:pt idx="852">
                  <c:v>44334</c:v>
                </c:pt>
                <c:pt idx="853">
                  <c:v>44335</c:v>
                </c:pt>
                <c:pt idx="854">
                  <c:v>44336</c:v>
                </c:pt>
                <c:pt idx="855">
                  <c:v>44337</c:v>
                </c:pt>
                <c:pt idx="856">
                  <c:v>44340</c:v>
                </c:pt>
                <c:pt idx="857">
                  <c:v>44341</c:v>
                </c:pt>
                <c:pt idx="858">
                  <c:v>44342</c:v>
                </c:pt>
                <c:pt idx="859">
                  <c:v>44343</c:v>
                </c:pt>
                <c:pt idx="860">
                  <c:v>44344</c:v>
                </c:pt>
                <c:pt idx="861">
                  <c:v>44347</c:v>
                </c:pt>
                <c:pt idx="862">
                  <c:v>44348</c:v>
                </c:pt>
                <c:pt idx="863">
                  <c:v>44349</c:v>
                </c:pt>
                <c:pt idx="864">
                  <c:v>44350</c:v>
                </c:pt>
                <c:pt idx="865">
                  <c:v>44351</c:v>
                </c:pt>
                <c:pt idx="866">
                  <c:v>44354</c:v>
                </c:pt>
                <c:pt idx="867">
                  <c:v>44355</c:v>
                </c:pt>
                <c:pt idx="868">
                  <c:v>44356</c:v>
                </c:pt>
                <c:pt idx="869">
                  <c:v>44357</c:v>
                </c:pt>
                <c:pt idx="870">
                  <c:v>44358</c:v>
                </c:pt>
                <c:pt idx="871">
                  <c:v>44361</c:v>
                </c:pt>
                <c:pt idx="872">
                  <c:v>44362</c:v>
                </c:pt>
                <c:pt idx="873">
                  <c:v>44363</c:v>
                </c:pt>
                <c:pt idx="874">
                  <c:v>44364</c:v>
                </c:pt>
                <c:pt idx="875">
                  <c:v>44365</c:v>
                </c:pt>
                <c:pt idx="876">
                  <c:v>44368</c:v>
                </c:pt>
                <c:pt idx="877">
                  <c:v>44369</c:v>
                </c:pt>
                <c:pt idx="878">
                  <c:v>44370</c:v>
                </c:pt>
                <c:pt idx="879">
                  <c:v>44371</c:v>
                </c:pt>
                <c:pt idx="880">
                  <c:v>44372</c:v>
                </c:pt>
                <c:pt idx="881">
                  <c:v>44375</c:v>
                </c:pt>
                <c:pt idx="882">
                  <c:v>44376</c:v>
                </c:pt>
                <c:pt idx="883">
                  <c:v>44377</c:v>
                </c:pt>
                <c:pt idx="884">
                  <c:v>44378</c:v>
                </c:pt>
                <c:pt idx="885">
                  <c:v>44379</c:v>
                </c:pt>
                <c:pt idx="886">
                  <c:v>44382</c:v>
                </c:pt>
                <c:pt idx="887">
                  <c:v>44383</c:v>
                </c:pt>
                <c:pt idx="888">
                  <c:v>44384</c:v>
                </c:pt>
                <c:pt idx="889">
                  <c:v>44385</c:v>
                </c:pt>
                <c:pt idx="890">
                  <c:v>44386</c:v>
                </c:pt>
                <c:pt idx="891">
                  <c:v>44389</c:v>
                </c:pt>
                <c:pt idx="892">
                  <c:v>44390</c:v>
                </c:pt>
                <c:pt idx="893">
                  <c:v>44391</c:v>
                </c:pt>
                <c:pt idx="894">
                  <c:v>44392</c:v>
                </c:pt>
                <c:pt idx="895">
                  <c:v>44393</c:v>
                </c:pt>
                <c:pt idx="896">
                  <c:v>44396</c:v>
                </c:pt>
                <c:pt idx="897">
                  <c:v>44397</c:v>
                </c:pt>
                <c:pt idx="898">
                  <c:v>44398</c:v>
                </c:pt>
                <c:pt idx="899">
                  <c:v>44399</c:v>
                </c:pt>
                <c:pt idx="900">
                  <c:v>44400</c:v>
                </c:pt>
                <c:pt idx="901">
                  <c:v>44403</c:v>
                </c:pt>
                <c:pt idx="902">
                  <c:v>44404</c:v>
                </c:pt>
                <c:pt idx="903">
                  <c:v>44405</c:v>
                </c:pt>
                <c:pt idx="904">
                  <c:v>44406</c:v>
                </c:pt>
                <c:pt idx="905">
                  <c:v>44407</c:v>
                </c:pt>
                <c:pt idx="906">
                  <c:v>44410</c:v>
                </c:pt>
                <c:pt idx="907">
                  <c:v>44411</c:v>
                </c:pt>
                <c:pt idx="908">
                  <c:v>44412</c:v>
                </c:pt>
                <c:pt idx="909">
                  <c:v>44413</c:v>
                </c:pt>
                <c:pt idx="910">
                  <c:v>44414</c:v>
                </c:pt>
                <c:pt idx="911">
                  <c:v>44417</c:v>
                </c:pt>
                <c:pt idx="912">
                  <c:v>44418</c:v>
                </c:pt>
                <c:pt idx="913">
                  <c:v>44419</c:v>
                </c:pt>
                <c:pt idx="914">
                  <c:v>44420</c:v>
                </c:pt>
                <c:pt idx="915">
                  <c:v>44421</c:v>
                </c:pt>
                <c:pt idx="916">
                  <c:v>44424</c:v>
                </c:pt>
                <c:pt idx="917">
                  <c:v>44425</c:v>
                </c:pt>
                <c:pt idx="918">
                  <c:v>44426</c:v>
                </c:pt>
                <c:pt idx="919">
                  <c:v>44427</c:v>
                </c:pt>
                <c:pt idx="920">
                  <c:v>44428</c:v>
                </c:pt>
                <c:pt idx="921">
                  <c:v>44431</c:v>
                </c:pt>
                <c:pt idx="922">
                  <c:v>44432</c:v>
                </c:pt>
                <c:pt idx="923">
                  <c:v>44433</c:v>
                </c:pt>
                <c:pt idx="924">
                  <c:v>44434</c:v>
                </c:pt>
                <c:pt idx="925">
                  <c:v>44435</c:v>
                </c:pt>
                <c:pt idx="926">
                  <c:v>44438</c:v>
                </c:pt>
                <c:pt idx="927">
                  <c:v>44439</c:v>
                </c:pt>
                <c:pt idx="928">
                  <c:v>44440</c:v>
                </c:pt>
                <c:pt idx="929">
                  <c:v>44441</c:v>
                </c:pt>
                <c:pt idx="930">
                  <c:v>44442</c:v>
                </c:pt>
                <c:pt idx="931">
                  <c:v>44445</c:v>
                </c:pt>
                <c:pt idx="932">
                  <c:v>44446</c:v>
                </c:pt>
                <c:pt idx="933">
                  <c:v>44447</c:v>
                </c:pt>
                <c:pt idx="934">
                  <c:v>44448</c:v>
                </c:pt>
                <c:pt idx="935">
                  <c:v>44449</c:v>
                </c:pt>
                <c:pt idx="936">
                  <c:v>44452</c:v>
                </c:pt>
                <c:pt idx="937">
                  <c:v>44453</c:v>
                </c:pt>
                <c:pt idx="938">
                  <c:v>44454</c:v>
                </c:pt>
                <c:pt idx="939">
                  <c:v>44455</c:v>
                </c:pt>
                <c:pt idx="940">
                  <c:v>44456</c:v>
                </c:pt>
                <c:pt idx="941">
                  <c:v>44459</c:v>
                </c:pt>
                <c:pt idx="942">
                  <c:v>44460</c:v>
                </c:pt>
                <c:pt idx="943">
                  <c:v>44461</c:v>
                </c:pt>
                <c:pt idx="944">
                  <c:v>44462</c:v>
                </c:pt>
                <c:pt idx="945">
                  <c:v>44463</c:v>
                </c:pt>
                <c:pt idx="946">
                  <c:v>44466</c:v>
                </c:pt>
                <c:pt idx="947">
                  <c:v>44467</c:v>
                </c:pt>
                <c:pt idx="948">
                  <c:v>44468</c:v>
                </c:pt>
                <c:pt idx="949">
                  <c:v>44469</c:v>
                </c:pt>
                <c:pt idx="950">
                  <c:v>44470</c:v>
                </c:pt>
                <c:pt idx="951">
                  <c:v>44473</c:v>
                </c:pt>
                <c:pt idx="952">
                  <c:v>44474</c:v>
                </c:pt>
                <c:pt idx="953">
                  <c:v>44475</c:v>
                </c:pt>
                <c:pt idx="954">
                  <c:v>44476</c:v>
                </c:pt>
                <c:pt idx="955">
                  <c:v>44477</c:v>
                </c:pt>
                <c:pt idx="956">
                  <c:v>44480</c:v>
                </c:pt>
                <c:pt idx="957">
                  <c:v>44481</c:v>
                </c:pt>
                <c:pt idx="958">
                  <c:v>44482</c:v>
                </c:pt>
                <c:pt idx="959">
                  <c:v>44483</c:v>
                </c:pt>
                <c:pt idx="960">
                  <c:v>44484</c:v>
                </c:pt>
                <c:pt idx="961">
                  <c:v>44487</c:v>
                </c:pt>
                <c:pt idx="962">
                  <c:v>44488</c:v>
                </c:pt>
                <c:pt idx="963">
                  <c:v>44489</c:v>
                </c:pt>
                <c:pt idx="964">
                  <c:v>44490</c:v>
                </c:pt>
                <c:pt idx="965">
                  <c:v>44491</c:v>
                </c:pt>
                <c:pt idx="966">
                  <c:v>44494</c:v>
                </c:pt>
                <c:pt idx="967">
                  <c:v>44495</c:v>
                </c:pt>
                <c:pt idx="968">
                  <c:v>44496</c:v>
                </c:pt>
                <c:pt idx="969">
                  <c:v>44497</c:v>
                </c:pt>
                <c:pt idx="970">
                  <c:v>44498</c:v>
                </c:pt>
                <c:pt idx="971">
                  <c:v>44501</c:v>
                </c:pt>
                <c:pt idx="972">
                  <c:v>44502</c:v>
                </c:pt>
                <c:pt idx="973">
                  <c:v>44503</c:v>
                </c:pt>
                <c:pt idx="974">
                  <c:v>44504</c:v>
                </c:pt>
                <c:pt idx="975">
                  <c:v>44505</c:v>
                </c:pt>
                <c:pt idx="976">
                  <c:v>44508</c:v>
                </c:pt>
                <c:pt idx="977">
                  <c:v>44509</c:v>
                </c:pt>
                <c:pt idx="978">
                  <c:v>44510</c:v>
                </c:pt>
                <c:pt idx="979">
                  <c:v>44511</c:v>
                </c:pt>
                <c:pt idx="980">
                  <c:v>44512</c:v>
                </c:pt>
                <c:pt idx="981">
                  <c:v>44515</c:v>
                </c:pt>
                <c:pt idx="982">
                  <c:v>44516</c:v>
                </c:pt>
                <c:pt idx="983">
                  <c:v>44517</c:v>
                </c:pt>
                <c:pt idx="984">
                  <c:v>44518</c:v>
                </c:pt>
                <c:pt idx="985">
                  <c:v>44519</c:v>
                </c:pt>
                <c:pt idx="986">
                  <c:v>44522</c:v>
                </c:pt>
                <c:pt idx="987">
                  <c:v>44523</c:v>
                </c:pt>
                <c:pt idx="988">
                  <c:v>44524</c:v>
                </c:pt>
                <c:pt idx="989">
                  <c:v>44525</c:v>
                </c:pt>
                <c:pt idx="990">
                  <c:v>44526</c:v>
                </c:pt>
                <c:pt idx="991">
                  <c:v>44529</c:v>
                </c:pt>
                <c:pt idx="992">
                  <c:v>44530</c:v>
                </c:pt>
                <c:pt idx="993">
                  <c:v>44531</c:v>
                </c:pt>
                <c:pt idx="994">
                  <c:v>44532</c:v>
                </c:pt>
                <c:pt idx="995">
                  <c:v>44533</c:v>
                </c:pt>
                <c:pt idx="996">
                  <c:v>44536</c:v>
                </c:pt>
                <c:pt idx="997">
                  <c:v>44537</c:v>
                </c:pt>
                <c:pt idx="998">
                  <c:v>44538</c:v>
                </c:pt>
                <c:pt idx="999">
                  <c:v>44539</c:v>
                </c:pt>
                <c:pt idx="1000">
                  <c:v>44540</c:v>
                </c:pt>
                <c:pt idx="1001">
                  <c:v>44543</c:v>
                </c:pt>
                <c:pt idx="1002">
                  <c:v>44544</c:v>
                </c:pt>
                <c:pt idx="1003">
                  <c:v>44545</c:v>
                </c:pt>
                <c:pt idx="1004">
                  <c:v>44546</c:v>
                </c:pt>
                <c:pt idx="1005">
                  <c:v>44547</c:v>
                </c:pt>
                <c:pt idx="1006">
                  <c:v>44550</c:v>
                </c:pt>
                <c:pt idx="1007">
                  <c:v>44551</c:v>
                </c:pt>
                <c:pt idx="1008">
                  <c:v>44552</c:v>
                </c:pt>
                <c:pt idx="1009">
                  <c:v>44553</c:v>
                </c:pt>
                <c:pt idx="1010">
                  <c:v>44554</c:v>
                </c:pt>
                <c:pt idx="1011">
                  <c:v>44557</c:v>
                </c:pt>
                <c:pt idx="1012">
                  <c:v>44558</c:v>
                </c:pt>
                <c:pt idx="1013">
                  <c:v>44559</c:v>
                </c:pt>
                <c:pt idx="1014">
                  <c:v>44560</c:v>
                </c:pt>
                <c:pt idx="1015">
                  <c:v>44561</c:v>
                </c:pt>
                <c:pt idx="1016">
                  <c:v>44564</c:v>
                </c:pt>
                <c:pt idx="1017">
                  <c:v>44565</c:v>
                </c:pt>
                <c:pt idx="1018">
                  <c:v>44566</c:v>
                </c:pt>
                <c:pt idx="1019">
                  <c:v>44567</c:v>
                </c:pt>
                <c:pt idx="1020">
                  <c:v>44568</c:v>
                </c:pt>
                <c:pt idx="1021">
                  <c:v>44571</c:v>
                </c:pt>
                <c:pt idx="1022">
                  <c:v>44572</c:v>
                </c:pt>
                <c:pt idx="1023">
                  <c:v>44573</c:v>
                </c:pt>
                <c:pt idx="1024">
                  <c:v>44574</c:v>
                </c:pt>
                <c:pt idx="1025">
                  <c:v>44575</c:v>
                </c:pt>
                <c:pt idx="1026">
                  <c:v>44578</c:v>
                </c:pt>
                <c:pt idx="1027">
                  <c:v>44579</c:v>
                </c:pt>
                <c:pt idx="1028">
                  <c:v>44580</c:v>
                </c:pt>
                <c:pt idx="1029">
                  <c:v>44581</c:v>
                </c:pt>
                <c:pt idx="1030">
                  <c:v>44582</c:v>
                </c:pt>
                <c:pt idx="1031">
                  <c:v>44585</c:v>
                </c:pt>
                <c:pt idx="1032">
                  <c:v>44586</c:v>
                </c:pt>
                <c:pt idx="1033">
                  <c:v>44587</c:v>
                </c:pt>
                <c:pt idx="1034">
                  <c:v>44588</c:v>
                </c:pt>
                <c:pt idx="1035">
                  <c:v>44589</c:v>
                </c:pt>
                <c:pt idx="1036">
                  <c:v>44592</c:v>
                </c:pt>
                <c:pt idx="1037">
                  <c:v>44593</c:v>
                </c:pt>
                <c:pt idx="1038">
                  <c:v>44594</c:v>
                </c:pt>
                <c:pt idx="1039">
                  <c:v>44595</c:v>
                </c:pt>
                <c:pt idx="1040">
                  <c:v>44596</c:v>
                </c:pt>
                <c:pt idx="1041">
                  <c:v>44599</c:v>
                </c:pt>
                <c:pt idx="1042">
                  <c:v>44600</c:v>
                </c:pt>
                <c:pt idx="1043">
                  <c:v>44601</c:v>
                </c:pt>
              </c:numCache>
            </c:numRef>
          </c:cat>
          <c:val>
            <c:numRef>
              <c:f>Prices!$D$4:$D$1047</c:f>
              <c:numCache>
                <c:formatCode>General</c:formatCode>
                <c:ptCount val="1044"/>
                <c:pt idx="0">
                  <c:v>88.18</c:v>
                </c:pt>
                <c:pt idx="1">
                  <c:v>89.13</c:v>
                </c:pt>
                <c:pt idx="2">
                  <c:v>89.83</c:v>
                </c:pt>
                <c:pt idx="3">
                  <c:v>90.81</c:v>
                </c:pt>
                <c:pt idx="4">
                  <c:v>92.66</c:v>
                </c:pt>
                <c:pt idx="5">
                  <c:v>92</c:v>
                </c:pt>
                <c:pt idx="6">
                  <c:v>92</c:v>
                </c:pt>
                <c:pt idx="7">
                  <c:v>92.72</c:v>
                </c:pt>
                <c:pt idx="8">
                  <c:v>91.49</c:v>
                </c:pt>
                <c:pt idx="9">
                  <c:v>91.73</c:v>
                </c:pt>
                <c:pt idx="10">
                  <c:v>94.06</c:v>
                </c:pt>
                <c:pt idx="11">
                  <c:v>95.42</c:v>
                </c:pt>
                <c:pt idx="12">
                  <c:v>94.2</c:v>
                </c:pt>
                <c:pt idx="13">
                  <c:v>93.77</c:v>
                </c:pt>
                <c:pt idx="14">
                  <c:v>92.85</c:v>
                </c:pt>
                <c:pt idx="15">
                  <c:v>93.05</c:v>
                </c:pt>
                <c:pt idx="16">
                  <c:v>93.64</c:v>
                </c:pt>
                <c:pt idx="17">
                  <c:v>93.32</c:v>
                </c:pt>
                <c:pt idx="18">
                  <c:v>93.86</c:v>
                </c:pt>
                <c:pt idx="19">
                  <c:v>94.43</c:v>
                </c:pt>
                <c:pt idx="20">
                  <c:v>96.54</c:v>
                </c:pt>
                <c:pt idx="21">
                  <c:v>96.77</c:v>
                </c:pt>
                <c:pt idx="22">
                  <c:v>94.41</c:v>
                </c:pt>
                <c:pt idx="23">
                  <c:v>93.85</c:v>
                </c:pt>
                <c:pt idx="24">
                  <c:v>94.18</c:v>
                </c:pt>
                <c:pt idx="25">
                  <c:v>94.6</c:v>
                </c:pt>
                <c:pt idx="26">
                  <c:v>92.89</c:v>
                </c:pt>
                <c:pt idx="27">
                  <c:v>93.13</c:v>
                </c:pt>
                <c:pt idx="28">
                  <c:v>92.48</c:v>
                </c:pt>
                <c:pt idx="29">
                  <c:v>89.79</c:v>
                </c:pt>
                <c:pt idx="30">
                  <c:v>87.18</c:v>
                </c:pt>
                <c:pt idx="31">
                  <c:v>93.78</c:v>
                </c:pt>
                <c:pt idx="32">
                  <c:v>89.47</c:v>
                </c:pt>
                <c:pt idx="33">
                  <c:v>89.39</c:v>
                </c:pt>
                <c:pt idx="34">
                  <c:v>91.27</c:v>
                </c:pt>
                <c:pt idx="35">
                  <c:v>91.27</c:v>
                </c:pt>
                <c:pt idx="36">
                  <c:v>88.52</c:v>
                </c:pt>
                <c:pt idx="37">
                  <c:v>89.71</c:v>
                </c:pt>
                <c:pt idx="38">
                  <c:v>92.33</c:v>
                </c:pt>
                <c:pt idx="39">
                  <c:v>92.38</c:v>
                </c:pt>
                <c:pt idx="40">
                  <c:v>90.23</c:v>
                </c:pt>
                <c:pt idx="41">
                  <c:v>90.77</c:v>
                </c:pt>
                <c:pt idx="42">
                  <c:v>92.88</c:v>
                </c:pt>
                <c:pt idx="43">
                  <c:v>91.86</c:v>
                </c:pt>
                <c:pt idx="44">
                  <c:v>93.58</c:v>
                </c:pt>
                <c:pt idx="45">
                  <c:v>93.08</c:v>
                </c:pt>
                <c:pt idx="46">
                  <c:v>94.17</c:v>
                </c:pt>
                <c:pt idx="47">
                  <c:v>96.07</c:v>
                </c:pt>
                <c:pt idx="48">
                  <c:v>96.44</c:v>
                </c:pt>
                <c:pt idx="49">
                  <c:v>96.11</c:v>
                </c:pt>
                <c:pt idx="50">
                  <c:v>95</c:v>
                </c:pt>
                <c:pt idx="51">
                  <c:v>95.35</c:v>
                </c:pt>
                <c:pt idx="52">
                  <c:v>93.12</c:v>
                </c:pt>
                <c:pt idx="53">
                  <c:v>92.31</c:v>
                </c:pt>
                <c:pt idx="54">
                  <c:v>94.26</c:v>
                </c:pt>
                <c:pt idx="55">
                  <c:v>95.82</c:v>
                </c:pt>
                <c:pt idx="56">
                  <c:v>93.52</c:v>
                </c:pt>
                <c:pt idx="57">
                  <c:v>95</c:v>
                </c:pt>
                <c:pt idx="58">
                  <c:v>93.51</c:v>
                </c:pt>
                <c:pt idx="59">
                  <c:v>94.07</c:v>
                </c:pt>
                <c:pt idx="60">
                  <c:v>95.16</c:v>
                </c:pt>
                <c:pt idx="61">
                  <c:v>96.22</c:v>
                </c:pt>
                <c:pt idx="62">
                  <c:v>95.81</c:v>
                </c:pt>
                <c:pt idx="63">
                  <c:v>96.94</c:v>
                </c:pt>
                <c:pt idx="64">
                  <c:v>97.91</c:v>
                </c:pt>
                <c:pt idx="65">
                  <c:v>97.7</c:v>
                </c:pt>
                <c:pt idx="66">
                  <c:v>98.03</c:v>
                </c:pt>
                <c:pt idx="67">
                  <c:v>97.32</c:v>
                </c:pt>
                <c:pt idx="68">
                  <c:v>97.15</c:v>
                </c:pt>
                <c:pt idx="69">
                  <c:v>96.18</c:v>
                </c:pt>
                <c:pt idx="70">
                  <c:v>96.36</c:v>
                </c:pt>
                <c:pt idx="71">
                  <c:v>97.6</c:v>
                </c:pt>
                <c:pt idx="72">
                  <c:v>97.5</c:v>
                </c:pt>
                <c:pt idx="73">
                  <c:v>98.66</c:v>
                </c:pt>
                <c:pt idx="74">
                  <c:v>98.31</c:v>
                </c:pt>
                <c:pt idx="75">
                  <c:v>98.36</c:v>
                </c:pt>
                <c:pt idx="76">
                  <c:v>98.36</c:v>
                </c:pt>
                <c:pt idx="77">
                  <c:v>98.01</c:v>
                </c:pt>
                <c:pt idx="78">
                  <c:v>98.95</c:v>
                </c:pt>
                <c:pt idx="79">
                  <c:v>98.84</c:v>
                </c:pt>
                <c:pt idx="80">
                  <c:v>100.79</c:v>
                </c:pt>
                <c:pt idx="81">
                  <c:v>101.67</c:v>
                </c:pt>
                <c:pt idx="82">
                  <c:v>102.19</c:v>
                </c:pt>
                <c:pt idx="83">
                  <c:v>102.49</c:v>
                </c:pt>
                <c:pt idx="84">
                  <c:v>100.88</c:v>
                </c:pt>
                <c:pt idx="85">
                  <c:v>101.63</c:v>
                </c:pt>
                <c:pt idx="86">
                  <c:v>101.05</c:v>
                </c:pt>
                <c:pt idx="87">
                  <c:v>101.31</c:v>
                </c:pt>
                <c:pt idx="88">
                  <c:v>100.85</c:v>
                </c:pt>
                <c:pt idx="89">
                  <c:v>101.42</c:v>
                </c:pt>
                <c:pt idx="90">
                  <c:v>100.13</c:v>
                </c:pt>
                <c:pt idx="91">
                  <c:v>100.86</c:v>
                </c:pt>
                <c:pt idx="92">
                  <c:v>100.86</c:v>
                </c:pt>
                <c:pt idx="93">
                  <c:v>101.87</c:v>
                </c:pt>
                <c:pt idx="94">
                  <c:v>101.14</c:v>
                </c:pt>
                <c:pt idx="95">
                  <c:v>100.41</c:v>
                </c:pt>
                <c:pt idx="96">
                  <c:v>98.39</c:v>
                </c:pt>
                <c:pt idx="97">
                  <c:v>99.08</c:v>
                </c:pt>
                <c:pt idx="98">
                  <c:v>97.54</c:v>
                </c:pt>
                <c:pt idx="99">
                  <c:v>98.63</c:v>
                </c:pt>
                <c:pt idx="100">
                  <c:v>98.61</c:v>
                </c:pt>
                <c:pt idx="101">
                  <c:v>100.01</c:v>
                </c:pt>
                <c:pt idx="102">
                  <c:v>99.05</c:v>
                </c:pt>
                <c:pt idx="103">
                  <c:v>99.05</c:v>
                </c:pt>
                <c:pt idx="104">
                  <c:v>99.76</c:v>
                </c:pt>
                <c:pt idx="105">
                  <c:v>101.16</c:v>
                </c:pt>
                <c:pt idx="106">
                  <c:v>101.85</c:v>
                </c:pt>
                <c:pt idx="107">
                  <c:v>102.12</c:v>
                </c:pt>
                <c:pt idx="108">
                  <c:v>101.98</c:v>
                </c:pt>
                <c:pt idx="109">
                  <c:v>104.19</c:v>
                </c:pt>
                <c:pt idx="110">
                  <c:v>105.43</c:v>
                </c:pt>
                <c:pt idx="111">
                  <c:v>104.91</c:v>
                </c:pt>
                <c:pt idx="112">
                  <c:v>105.95</c:v>
                </c:pt>
                <c:pt idx="113">
                  <c:v>105.12</c:v>
                </c:pt>
                <c:pt idx="114">
                  <c:v>104.4</c:v>
                </c:pt>
                <c:pt idx="115">
                  <c:v>106.27</c:v>
                </c:pt>
                <c:pt idx="116">
                  <c:v>107.97</c:v>
                </c:pt>
                <c:pt idx="117">
                  <c:v>107.66</c:v>
                </c:pt>
                <c:pt idx="118">
                  <c:v>110.83</c:v>
                </c:pt>
                <c:pt idx="119">
                  <c:v>109.62</c:v>
                </c:pt>
                <c:pt idx="120">
                  <c:v>107.68</c:v>
                </c:pt>
                <c:pt idx="121">
                  <c:v>105.37</c:v>
                </c:pt>
                <c:pt idx="122">
                  <c:v>106.08</c:v>
                </c:pt>
                <c:pt idx="123">
                  <c:v>106.28</c:v>
                </c:pt>
                <c:pt idx="124">
                  <c:v>107.57</c:v>
                </c:pt>
                <c:pt idx="125">
                  <c:v>108.04</c:v>
                </c:pt>
                <c:pt idx="126">
                  <c:v>108.13</c:v>
                </c:pt>
                <c:pt idx="127">
                  <c:v>108.88</c:v>
                </c:pt>
                <c:pt idx="128">
                  <c:v>109.49</c:v>
                </c:pt>
                <c:pt idx="129">
                  <c:v>109.67</c:v>
                </c:pt>
                <c:pt idx="130">
                  <c:v>109</c:v>
                </c:pt>
                <c:pt idx="131">
                  <c:v>108.21</c:v>
                </c:pt>
                <c:pt idx="132">
                  <c:v>109.56</c:v>
                </c:pt>
                <c:pt idx="133">
                  <c:v>107.66</c:v>
                </c:pt>
                <c:pt idx="134">
                  <c:v>107.64</c:v>
                </c:pt>
                <c:pt idx="135">
                  <c:v>107.58</c:v>
                </c:pt>
                <c:pt idx="136">
                  <c:v>106.87</c:v>
                </c:pt>
                <c:pt idx="137">
                  <c:v>105.98</c:v>
                </c:pt>
                <c:pt idx="138">
                  <c:v>107.06</c:v>
                </c:pt>
                <c:pt idx="139">
                  <c:v>107.56</c:v>
                </c:pt>
                <c:pt idx="140">
                  <c:v>108.4</c:v>
                </c:pt>
                <c:pt idx="141">
                  <c:v>109.6</c:v>
                </c:pt>
                <c:pt idx="142">
                  <c:v>110.26</c:v>
                </c:pt>
                <c:pt idx="143">
                  <c:v>112.02</c:v>
                </c:pt>
                <c:pt idx="144">
                  <c:v>111.95</c:v>
                </c:pt>
                <c:pt idx="145">
                  <c:v>112.33</c:v>
                </c:pt>
                <c:pt idx="146">
                  <c:v>112.33</c:v>
                </c:pt>
                <c:pt idx="147">
                  <c:v>111.71</c:v>
                </c:pt>
                <c:pt idx="148">
                  <c:v>108.49</c:v>
                </c:pt>
                <c:pt idx="149">
                  <c:v>108.74</c:v>
                </c:pt>
                <c:pt idx="150">
                  <c:v>108.21</c:v>
                </c:pt>
                <c:pt idx="151">
                  <c:v>109.38</c:v>
                </c:pt>
                <c:pt idx="152">
                  <c:v>111.24</c:v>
                </c:pt>
                <c:pt idx="153">
                  <c:v>111.71</c:v>
                </c:pt>
                <c:pt idx="154">
                  <c:v>112.91</c:v>
                </c:pt>
                <c:pt idx="155">
                  <c:v>113.37</c:v>
                </c:pt>
                <c:pt idx="156">
                  <c:v>112.14</c:v>
                </c:pt>
                <c:pt idx="157">
                  <c:v>113.21</c:v>
                </c:pt>
                <c:pt idx="158">
                  <c:v>111.7</c:v>
                </c:pt>
                <c:pt idx="159">
                  <c:v>113.57</c:v>
                </c:pt>
                <c:pt idx="160">
                  <c:v>114.26</c:v>
                </c:pt>
                <c:pt idx="161">
                  <c:v>114.67</c:v>
                </c:pt>
                <c:pt idx="162">
                  <c:v>114.45</c:v>
                </c:pt>
                <c:pt idx="163">
                  <c:v>113.98</c:v>
                </c:pt>
                <c:pt idx="164">
                  <c:v>114.41</c:v>
                </c:pt>
                <c:pt idx="165">
                  <c:v>114.37</c:v>
                </c:pt>
                <c:pt idx="166">
                  <c:v>115.61</c:v>
                </c:pt>
                <c:pt idx="167">
                  <c:v>115.15</c:v>
                </c:pt>
                <c:pt idx="168">
                  <c:v>115.17</c:v>
                </c:pt>
                <c:pt idx="169">
                  <c:v>112.79</c:v>
                </c:pt>
                <c:pt idx="170">
                  <c:v>112.13</c:v>
                </c:pt>
                <c:pt idx="171">
                  <c:v>110.85</c:v>
                </c:pt>
                <c:pt idx="172">
                  <c:v>112.26</c:v>
                </c:pt>
                <c:pt idx="173">
                  <c:v>106.16</c:v>
                </c:pt>
                <c:pt idx="174">
                  <c:v>105.91</c:v>
                </c:pt>
                <c:pt idx="175">
                  <c:v>109.57</c:v>
                </c:pt>
                <c:pt idx="176">
                  <c:v>107.6</c:v>
                </c:pt>
                <c:pt idx="177">
                  <c:v>111</c:v>
                </c:pt>
                <c:pt idx="178">
                  <c:v>110.71</c:v>
                </c:pt>
                <c:pt idx="179">
                  <c:v>108.5</c:v>
                </c:pt>
                <c:pt idx="180">
                  <c:v>108.66</c:v>
                </c:pt>
                <c:pt idx="181">
                  <c:v>109.63</c:v>
                </c:pt>
                <c:pt idx="182">
                  <c:v>108.1</c:v>
                </c:pt>
                <c:pt idx="183">
                  <c:v>102.32</c:v>
                </c:pt>
                <c:pt idx="184">
                  <c:v>108.3</c:v>
                </c:pt>
                <c:pt idx="185">
                  <c:v>106.96</c:v>
                </c:pt>
                <c:pt idx="186">
                  <c:v>103.85</c:v>
                </c:pt>
                <c:pt idx="187">
                  <c:v>103.73</c:v>
                </c:pt>
                <c:pt idx="188">
                  <c:v>106.81</c:v>
                </c:pt>
                <c:pt idx="189">
                  <c:v>105.92</c:v>
                </c:pt>
                <c:pt idx="190">
                  <c:v>106.16</c:v>
                </c:pt>
                <c:pt idx="191">
                  <c:v>107.51</c:v>
                </c:pt>
                <c:pt idx="192">
                  <c:v>107.72</c:v>
                </c:pt>
                <c:pt idx="193">
                  <c:v>111.96</c:v>
                </c:pt>
                <c:pt idx="194">
                  <c:v>111.75</c:v>
                </c:pt>
                <c:pt idx="195">
                  <c:v>109.57</c:v>
                </c:pt>
                <c:pt idx="196">
                  <c:v>106.87</c:v>
                </c:pt>
                <c:pt idx="197">
                  <c:v>106.94</c:v>
                </c:pt>
                <c:pt idx="198">
                  <c:v>104.97</c:v>
                </c:pt>
                <c:pt idx="199">
                  <c:v>107.28</c:v>
                </c:pt>
                <c:pt idx="200">
                  <c:v>108.29</c:v>
                </c:pt>
                <c:pt idx="201">
                  <c:v>104.62</c:v>
                </c:pt>
                <c:pt idx="202">
                  <c:v>101.71</c:v>
                </c:pt>
                <c:pt idx="203">
                  <c:v>103.11</c:v>
                </c:pt>
                <c:pt idx="204">
                  <c:v>103.11</c:v>
                </c:pt>
                <c:pt idx="205">
                  <c:v>103.07</c:v>
                </c:pt>
                <c:pt idx="206">
                  <c:v>106.47</c:v>
                </c:pt>
                <c:pt idx="207">
                  <c:v>107.14</c:v>
                </c:pt>
                <c:pt idx="208">
                  <c:v>111.12</c:v>
                </c:pt>
                <c:pt idx="209">
                  <c:v>110.19</c:v>
                </c:pt>
                <c:pt idx="210">
                  <c:v>110.89</c:v>
                </c:pt>
                <c:pt idx="211">
                  <c:v>112.09</c:v>
                </c:pt>
                <c:pt idx="212">
                  <c:v>108.52</c:v>
                </c:pt>
                <c:pt idx="213">
                  <c:v>108.52</c:v>
                </c:pt>
                <c:pt idx="214">
                  <c:v>109.19</c:v>
                </c:pt>
                <c:pt idx="215">
                  <c:v>104.82</c:v>
                </c:pt>
                <c:pt idx="216">
                  <c:v>107.59</c:v>
                </c:pt>
                <c:pt idx="217">
                  <c:v>108.59</c:v>
                </c:pt>
                <c:pt idx="218">
                  <c:v>109.08</c:v>
                </c:pt>
                <c:pt idx="219">
                  <c:v>109.45</c:v>
                </c:pt>
                <c:pt idx="220">
                  <c:v>106.03</c:v>
                </c:pt>
                <c:pt idx="221">
                  <c:v>102.89</c:v>
                </c:pt>
                <c:pt idx="222">
                  <c:v>103.97</c:v>
                </c:pt>
                <c:pt idx="223">
                  <c:v>103.69</c:v>
                </c:pt>
                <c:pt idx="224">
                  <c:v>101.51</c:v>
                </c:pt>
                <c:pt idx="225">
                  <c:v>98.23</c:v>
                </c:pt>
                <c:pt idx="226">
                  <c:v>94.13</c:v>
                </c:pt>
                <c:pt idx="227">
                  <c:v>94.13</c:v>
                </c:pt>
                <c:pt idx="228">
                  <c:v>100.56</c:v>
                </c:pt>
                <c:pt idx="229">
                  <c:v>101.18</c:v>
                </c:pt>
                <c:pt idx="230">
                  <c:v>100.39</c:v>
                </c:pt>
                <c:pt idx="231">
                  <c:v>101.57</c:v>
                </c:pt>
                <c:pt idx="232">
                  <c:v>101.57</c:v>
                </c:pt>
                <c:pt idx="233">
                  <c:v>101.12</c:v>
                </c:pt>
                <c:pt idx="234">
                  <c:v>97.4</c:v>
                </c:pt>
                <c:pt idx="235">
                  <c:v>101.93</c:v>
                </c:pt>
                <c:pt idx="236">
                  <c:v>102.06</c:v>
                </c:pt>
                <c:pt idx="237">
                  <c:v>102.8</c:v>
                </c:pt>
                <c:pt idx="238">
                  <c:v>104.27</c:v>
                </c:pt>
                <c:pt idx="239">
                  <c:v>103.6</c:v>
                </c:pt>
                <c:pt idx="240">
                  <c:v>102.8</c:v>
                </c:pt>
                <c:pt idx="241">
                  <c:v>102.05</c:v>
                </c:pt>
                <c:pt idx="242">
                  <c:v>105.01</c:v>
                </c:pt>
                <c:pt idx="243">
                  <c:v>105.38</c:v>
                </c:pt>
                <c:pt idx="244">
                  <c:v>106.12</c:v>
                </c:pt>
                <c:pt idx="245">
                  <c:v>107.71</c:v>
                </c:pt>
                <c:pt idx="246">
                  <c:v>107.71</c:v>
                </c:pt>
                <c:pt idx="247">
                  <c:v>105.68</c:v>
                </c:pt>
                <c:pt idx="248">
                  <c:v>106.71</c:v>
                </c:pt>
                <c:pt idx="249">
                  <c:v>106.2</c:v>
                </c:pt>
                <c:pt idx="250">
                  <c:v>107.17</c:v>
                </c:pt>
                <c:pt idx="251">
                  <c:v>105.08</c:v>
                </c:pt>
                <c:pt idx="252">
                  <c:v>102.94</c:v>
                </c:pt>
                <c:pt idx="253">
                  <c:v>106.38</c:v>
                </c:pt>
                <c:pt idx="254">
                  <c:v>104.43</c:v>
                </c:pt>
                <c:pt idx="255">
                  <c:v>102.78</c:v>
                </c:pt>
                <c:pt idx="256">
                  <c:v>105.74</c:v>
                </c:pt>
                <c:pt idx="257">
                  <c:v>107.22</c:v>
                </c:pt>
                <c:pt idx="258">
                  <c:v>106.03</c:v>
                </c:pt>
                <c:pt idx="259">
                  <c:v>105.27</c:v>
                </c:pt>
                <c:pt idx="260">
                  <c:v>105.67</c:v>
                </c:pt>
                <c:pt idx="261">
                  <c:v>105.25</c:v>
                </c:pt>
                <c:pt idx="262">
                  <c:v>106.89</c:v>
                </c:pt>
                <c:pt idx="263">
                  <c:v>106.81</c:v>
                </c:pt>
                <c:pt idx="264">
                  <c:v>106.9</c:v>
                </c:pt>
                <c:pt idx="265">
                  <c:v>108.22</c:v>
                </c:pt>
                <c:pt idx="266">
                  <c:v>108.22</c:v>
                </c:pt>
                <c:pt idx="267">
                  <c:v>108.17</c:v>
                </c:pt>
                <c:pt idx="268">
                  <c:v>107.15</c:v>
                </c:pt>
                <c:pt idx="269">
                  <c:v>109.41</c:v>
                </c:pt>
                <c:pt idx="270">
                  <c:v>110.97</c:v>
                </c:pt>
                <c:pt idx="271">
                  <c:v>111.59</c:v>
                </c:pt>
                <c:pt idx="272">
                  <c:v>112.36</c:v>
                </c:pt>
                <c:pt idx="273">
                  <c:v>112.17</c:v>
                </c:pt>
                <c:pt idx="274">
                  <c:v>112.03</c:v>
                </c:pt>
                <c:pt idx="275">
                  <c:v>112.53</c:v>
                </c:pt>
                <c:pt idx="276">
                  <c:v>112.26</c:v>
                </c:pt>
                <c:pt idx="277">
                  <c:v>111.7</c:v>
                </c:pt>
                <c:pt idx="278">
                  <c:v>111.75</c:v>
                </c:pt>
                <c:pt idx="279">
                  <c:v>110.39</c:v>
                </c:pt>
                <c:pt idx="280">
                  <c:v>110.51</c:v>
                </c:pt>
                <c:pt idx="281">
                  <c:v>112.83</c:v>
                </c:pt>
                <c:pt idx="282">
                  <c:v>113.62</c:v>
                </c:pt>
                <c:pt idx="283">
                  <c:v>114.5</c:v>
                </c:pt>
                <c:pt idx="284">
                  <c:v>114.59</c:v>
                </c:pt>
                <c:pt idx="285">
                  <c:v>115.91</c:v>
                </c:pt>
                <c:pt idx="286">
                  <c:v>117.57</c:v>
                </c:pt>
                <c:pt idx="287">
                  <c:v>117.65</c:v>
                </c:pt>
                <c:pt idx="288">
                  <c:v>117.52</c:v>
                </c:pt>
                <c:pt idx="289">
                  <c:v>120.22</c:v>
                </c:pt>
                <c:pt idx="290">
                  <c:v>117.05</c:v>
                </c:pt>
                <c:pt idx="291">
                  <c:v>117.66</c:v>
                </c:pt>
                <c:pt idx="292">
                  <c:v>117.91</c:v>
                </c:pt>
                <c:pt idx="293">
                  <c:v>116.77</c:v>
                </c:pt>
                <c:pt idx="294">
                  <c:v>116.93</c:v>
                </c:pt>
                <c:pt idx="295">
                  <c:v>117.94</c:v>
                </c:pt>
                <c:pt idx="296">
                  <c:v>119.02</c:v>
                </c:pt>
                <c:pt idx="297">
                  <c:v>119.19</c:v>
                </c:pt>
                <c:pt idx="298">
                  <c:v>119.97</c:v>
                </c:pt>
                <c:pt idx="299">
                  <c:v>119.36</c:v>
                </c:pt>
                <c:pt idx="300">
                  <c:v>119.89</c:v>
                </c:pt>
                <c:pt idx="301">
                  <c:v>119.93</c:v>
                </c:pt>
                <c:pt idx="302">
                  <c:v>119.28</c:v>
                </c:pt>
                <c:pt idx="303">
                  <c:v>120.19</c:v>
                </c:pt>
                <c:pt idx="304">
                  <c:v>120.33</c:v>
                </c:pt>
                <c:pt idx="305">
                  <c:v>120.95</c:v>
                </c:pt>
                <c:pt idx="306">
                  <c:v>121.05</c:v>
                </c:pt>
                <c:pt idx="307">
                  <c:v>120.77</c:v>
                </c:pt>
                <c:pt idx="308">
                  <c:v>121.77</c:v>
                </c:pt>
                <c:pt idx="309">
                  <c:v>123.37</c:v>
                </c:pt>
                <c:pt idx="310">
                  <c:v>123.37</c:v>
                </c:pt>
                <c:pt idx="311">
                  <c:v>123.76</c:v>
                </c:pt>
                <c:pt idx="312">
                  <c:v>125.44</c:v>
                </c:pt>
                <c:pt idx="313">
                  <c:v>125.01</c:v>
                </c:pt>
                <c:pt idx="314">
                  <c:v>129.15</c:v>
                </c:pt>
                <c:pt idx="315">
                  <c:v>129.88999999999999</c:v>
                </c:pt>
                <c:pt idx="316">
                  <c:v>129.77000000000001</c:v>
                </c:pt>
                <c:pt idx="317">
                  <c:v>130.6</c:v>
                </c:pt>
                <c:pt idx="318">
                  <c:v>127.88</c:v>
                </c:pt>
                <c:pt idx="319">
                  <c:v>126.21</c:v>
                </c:pt>
                <c:pt idx="320">
                  <c:v>128.9</c:v>
                </c:pt>
                <c:pt idx="321">
                  <c:v>128.15</c:v>
                </c:pt>
                <c:pt idx="322">
                  <c:v>125.52</c:v>
                </c:pt>
                <c:pt idx="323">
                  <c:v>125.51</c:v>
                </c:pt>
                <c:pt idx="324">
                  <c:v>125.5</c:v>
                </c:pt>
                <c:pt idx="325">
                  <c:v>127.13</c:v>
                </c:pt>
                <c:pt idx="326">
                  <c:v>123.35</c:v>
                </c:pt>
                <c:pt idx="327">
                  <c:v>124.73</c:v>
                </c:pt>
                <c:pt idx="328">
                  <c:v>126.02</c:v>
                </c:pt>
                <c:pt idx="329">
                  <c:v>128.93</c:v>
                </c:pt>
                <c:pt idx="330">
                  <c:v>128.07</c:v>
                </c:pt>
                <c:pt idx="331">
                  <c:v>126.22</c:v>
                </c:pt>
                <c:pt idx="332">
                  <c:v>126.9</c:v>
                </c:pt>
                <c:pt idx="333">
                  <c:v>127.67</c:v>
                </c:pt>
                <c:pt idx="334">
                  <c:v>126.18</c:v>
                </c:pt>
                <c:pt idx="335">
                  <c:v>126.24</c:v>
                </c:pt>
                <c:pt idx="336">
                  <c:v>126.24</c:v>
                </c:pt>
                <c:pt idx="337">
                  <c:v>126.16</c:v>
                </c:pt>
                <c:pt idx="338">
                  <c:v>124.94</c:v>
                </c:pt>
                <c:pt idx="339">
                  <c:v>125.73</c:v>
                </c:pt>
                <c:pt idx="340">
                  <c:v>123.68</c:v>
                </c:pt>
                <c:pt idx="341">
                  <c:v>119.84</c:v>
                </c:pt>
                <c:pt idx="342">
                  <c:v>123.16</c:v>
                </c:pt>
                <c:pt idx="343">
                  <c:v>125.83</c:v>
                </c:pt>
                <c:pt idx="344">
                  <c:v>127.82</c:v>
                </c:pt>
                <c:pt idx="345">
                  <c:v>131.4</c:v>
                </c:pt>
                <c:pt idx="346">
                  <c:v>132.6</c:v>
                </c:pt>
                <c:pt idx="347">
                  <c:v>132.1</c:v>
                </c:pt>
                <c:pt idx="348">
                  <c:v>131.49</c:v>
                </c:pt>
                <c:pt idx="349">
                  <c:v>132.32</c:v>
                </c:pt>
                <c:pt idx="350">
                  <c:v>132.44999999999999</c:v>
                </c:pt>
                <c:pt idx="351">
                  <c:v>132.85</c:v>
                </c:pt>
                <c:pt idx="352">
                  <c:v>135.16</c:v>
                </c:pt>
                <c:pt idx="353">
                  <c:v>135.69</c:v>
                </c:pt>
                <c:pt idx="354">
                  <c:v>136.94999999999999</c:v>
                </c:pt>
                <c:pt idx="355">
                  <c:v>136.97</c:v>
                </c:pt>
                <c:pt idx="356">
                  <c:v>137.78</c:v>
                </c:pt>
                <c:pt idx="357">
                  <c:v>133.43</c:v>
                </c:pt>
                <c:pt idx="358">
                  <c:v>133.93</c:v>
                </c:pt>
                <c:pt idx="359">
                  <c:v>134.15</c:v>
                </c:pt>
                <c:pt idx="360">
                  <c:v>133.96</c:v>
                </c:pt>
                <c:pt idx="361">
                  <c:v>135.68</c:v>
                </c:pt>
                <c:pt idx="362">
                  <c:v>136.58000000000001</c:v>
                </c:pt>
                <c:pt idx="363">
                  <c:v>137.46</c:v>
                </c:pt>
                <c:pt idx="364">
                  <c:v>137.46</c:v>
                </c:pt>
                <c:pt idx="365">
                  <c:v>137.06</c:v>
                </c:pt>
                <c:pt idx="366">
                  <c:v>136.96</c:v>
                </c:pt>
                <c:pt idx="367">
                  <c:v>136.46</c:v>
                </c:pt>
                <c:pt idx="368">
                  <c:v>137.85</c:v>
                </c:pt>
                <c:pt idx="369">
                  <c:v>138.4</c:v>
                </c:pt>
                <c:pt idx="370">
                  <c:v>138.9</c:v>
                </c:pt>
                <c:pt idx="371">
                  <c:v>138.9</c:v>
                </c:pt>
                <c:pt idx="372">
                  <c:v>137.08000000000001</c:v>
                </c:pt>
                <c:pt idx="373">
                  <c:v>136.27000000000001</c:v>
                </c:pt>
                <c:pt idx="374">
                  <c:v>136.41999999999999</c:v>
                </c:pt>
                <c:pt idx="375">
                  <c:v>136.62</c:v>
                </c:pt>
                <c:pt idx="376">
                  <c:v>138.43</c:v>
                </c:pt>
                <c:pt idx="377">
                  <c:v>139.29</c:v>
                </c:pt>
                <c:pt idx="378">
                  <c:v>140.72</c:v>
                </c:pt>
                <c:pt idx="379">
                  <c:v>140.19</c:v>
                </c:pt>
                <c:pt idx="380">
                  <c:v>141.34</c:v>
                </c:pt>
                <c:pt idx="381">
                  <c:v>141.03</c:v>
                </c:pt>
                <c:pt idx="382">
                  <c:v>140.35</c:v>
                </c:pt>
                <c:pt idx="383">
                  <c:v>136.27000000000001</c:v>
                </c:pt>
                <c:pt idx="384">
                  <c:v>138.06</c:v>
                </c:pt>
                <c:pt idx="385">
                  <c:v>136.9</c:v>
                </c:pt>
                <c:pt idx="386">
                  <c:v>132.21</c:v>
                </c:pt>
                <c:pt idx="387">
                  <c:v>134.69</c:v>
                </c:pt>
                <c:pt idx="388">
                  <c:v>135.28</c:v>
                </c:pt>
                <c:pt idx="389">
                  <c:v>138.88999999999999</c:v>
                </c:pt>
                <c:pt idx="390">
                  <c:v>137.71</c:v>
                </c:pt>
                <c:pt idx="391">
                  <c:v>135.79</c:v>
                </c:pt>
                <c:pt idx="392">
                  <c:v>138.6</c:v>
                </c:pt>
                <c:pt idx="393">
                  <c:v>133.97999999999999</c:v>
                </c:pt>
                <c:pt idx="394">
                  <c:v>133.68</c:v>
                </c:pt>
                <c:pt idx="395">
                  <c:v>136.13</c:v>
                </c:pt>
                <c:pt idx="396">
                  <c:v>138.41</c:v>
                </c:pt>
                <c:pt idx="397">
                  <c:v>137.26</c:v>
                </c:pt>
                <c:pt idx="398">
                  <c:v>138.79</c:v>
                </c:pt>
                <c:pt idx="399">
                  <c:v>137.78</c:v>
                </c:pt>
                <c:pt idx="400">
                  <c:v>133.38999999999999</c:v>
                </c:pt>
                <c:pt idx="401">
                  <c:v>135.44999999999999</c:v>
                </c:pt>
                <c:pt idx="402">
                  <c:v>135.74</c:v>
                </c:pt>
                <c:pt idx="403">
                  <c:v>135.56</c:v>
                </c:pt>
                <c:pt idx="404">
                  <c:v>138.12</c:v>
                </c:pt>
                <c:pt idx="405">
                  <c:v>137.86000000000001</c:v>
                </c:pt>
                <c:pt idx="406">
                  <c:v>137.86000000000001</c:v>
                </c:pt>
                <c:pt idx="407">
                  <c:v>136.04</c:v>
                </c:pt>
                <c:pt idx="408">
                  <c:v>137.63</c:v>
                </c:pt>
                <c:pt idx="409">
                  <c:v>140.05000000000001</c:v>
                </c:pt>
                <c:pt idx="410">
                  <c:v>139.1</c:v>
                </c:pt>
                <c:pt idx="411">
                  <c:v>137.52000000000001</c:v>
                </c:pt>
                <c:pt idx="412">
                  <c:v>136.08000000000001</c:v>
                </c:pt>
                <c:pt idx="413">
                  <c:v>136.12</c:v>
                </c:pt>
                <c:pt idx="414">
                  <c:v>137.52000000000001</c:v>
                </c:pt>
                <c:pt idx="415">
                  <c:v>137.32</c:v>
                </c:pt>
                <c:pt idx="416">
                  <c:v>136.33000000000001</c:v>
                </c:pt>
                <c:pt idx="417">
                  <c:v>137.38999999999999</c:v>
                </c:pt>
                <c:pt idx="418">
                  <c:v>138.52000000000001</c:v>
                </c:pt>
                <c:pt idx="419">
                  <c:v>141.07</c:v>
                </c:pt>
                <c:pt idx="420">
                  <c:v>139.44</c:v>
                </c:pt>
                <c:pt idx="421">
                  <c:v>139.13999999999999</c:v>
                </c:pt>
                <c:pt idx="422">
                  <c:v>137.38</c:v>
                </c:pt>
                <c:pt idx="423">
                  <c:v>139.36000000000001</c:v>
                </c:pt>
                <c:pt idx="424">
                  <c:v>139.54</c:v>
                </c:pt>
                <c:pt idx="425">
                  <c:v>137.72999999999999</c:v>
                </c:pt>
                <c:pt idx="426">
                  <c:v>139.03</c:v>
                </c:pt>
                <c:pt idx="427">
                  <c:v>137.07</c:v>
                </c:pt>
                <c:pt idx="428">
                  <c:v>134.65</c:v>
                </c:pt>
                <c:pt idx="429">
                  <c:v>136.28</c:v>
                </c:pt>
                <c:pt idx="430">
                  <c:v>138.12</c:v>
                </c:pt>
                <c:pt idx="431">
                  <c:v>137.12</c:v>
                </c:pt>
                <c:pt idx="432">
                  <c:v>135.66999999999999</c:v>
                </c:pt>
                <c:pt idx="433">
                  <c:v>138.24</c:v>
                </c:pt>
                <c:pt idx="434">
                  <c:v>139.1</c:v>
                </c:pt>
                <c:pt idx="435">
                  <c:v>139.68</c:v>
                </c:pt>
                <c:pt idx="436">
                  <c:v>139.55000000000001</c:v>
                </c:pt>
                <c:pt idx="437">
                  <c:v>141.57499999999999</c:v>
                </c:pt>
                <c:pt idx="438">
                  <c:v>140.41</c:v>
                </c:pt>
                <c:pt idx="439">
                  <c:v>139.69</c:v>
                </c:pt>
                <c:pt idx="440">
                  <c:v>137.41</c:v>
                </c:pt>
                <c:pt idx="441">
                  <c:v>138.43</c:v>
                </c:pt>
                <c:pt idx="442">
                  <c:v>136.37</c:v>
                </c:pt>
                <c:pt idx="443">
                  <c:v>137.24</c:v>
                </c:pt>
                <c:pt idx="444">
                  <c:v>139.94</c:v>
                </c:pt>
                <c:pt idx="445">
                  <c:v>140.72999999999999</c:v>
                </c:pt>
                <c:pt idx="446">
                  <c:v>144.19</c:v>
                </c:pt>
                <c:pt idx="447">
                  <c:v>142.83000000000001</c:v>
                </c:pt>
                <c:pt idx="448">
                  <c:v>144.61000000000001</c:v>
                </c:pt>
                <c:pt idx="449">
                  <c:v>143.37</c:v>
                </c:pt>
                <c:pt idx="450">
                  <c:v>143.72</c:v>
                </c:pt>
                <c:pt idx="451">
                  <c:v>144.55000000000001</c:v>
                </c:pt>
                <c:pt idx="452">
                  <c:v>144.46</c:v>
                </c:pt>
                <c:pt idx="453">
                  <c:v>144.06</c:v>
                </c:pt>
                <c:pt idx="454">
                  <c:v>144.26</c:v>
                </c:pt>
                <c:pt idx="455">
                  <c:v>145.96</c:v>
                </c:pt>
                <c:pt idx="456">
                  <c:v>146.11000000000001</c:v>
                </c:pt>
                <c:pt idx="457">
                  <c:v>147.07</c:v>
                </c:pt>
                <c:pt idx="458">
                  <c:v>147.31</c:v>
                </c:pt>
                <c:pt idx="459">
                  <c:v>148.06</c:v>
                </c:pt>
                <c:pt idx="460">
                  <c:v>149.97</c:v>
                </c:pt>
                <c:pt idx="461">
                  <c:v>150.34</c:v>
                </c:pt>
                <c:pt idx="462">
                  <c:v>150.38999999999999</c:v>
                </c:pt>
                <c:pt idx="463">
                  <c:v>149.62</c:v>
                </c:pt>
                <c:pt idx="464">
                  <c:v>149.47999999999999</c:v>
                </c:pt>
                <c:pt idx="465">
                  <c:v>149.59</c:v>
                </c:pt>
                <c:pt idx="466">
                  <c:v>151.22999999999999</c:v>
                </c:pt>
                <c:pt idx="467">
                  <c:v>152.03</c:v>
                </c:pt>
                <c:pt idx="468">
                  <c:v>152.32</c:v>
                </c:pt>
                <c:pt idx="469">
                  <c:v>152.32</c:v>
                </c:pt>
                <c:pt idx="470">
                  <c:v>151.38</c:v>
                </c:pt>
                <c:pt idx="471">
                  <c:v>149.55000000000001</c:v>
                </c:pt>
                <c:pt idx="472">
                  <c:v>149.31</c:v>
                </c:pt>
                <c:pt idx="473">
                  <c:v>149.85</c:v>
                </c:pt>
                <c:pt idx="474">
                  <c:v>149.93</c:v>
                </c:pt>
                <c:pt idx="475">
                  <c:v>151.75</c:v>
                </c:pt>
                <c:pt idx="476">
                  <c:v>151.36000000000001</c:v>
                </c:pt>
                <c:pt idx="477">
                  <c:v>151.13</c:v>
                </c:pt>
                <c:pt idx="478">
                  <c:v>151.69999999999999</c:v>
                </c:pt>
                <c:pt idx="479">
                  <c:v>153.24</c:v>
                </c:pt>
                <c:pt idx="480">
                  <c:v>154.53</c:v>
                </c:pt>
                <c:pt idx="481">
                  <c:v>155.53</c:v>
                </c:pt>
                <c:pt idx="482">
                  <c:v>154.69</c:v>
                </c:pt>
                <c:pt idx="483">
                  <c:v>154.37</c:v>
                </c:pt>
                <c:pt idx="484">
                  <c:v>155.71</c:v>
                </c:pt>
                <c:pt idx="485">
                  <c:v>157.41</c:v>
                </c:pt>
                <c:pt idx="486">
                  <c:v>157.41</c:v>
                </c:pt>
                <c:pt idx="487">
                  <c:v>157.38</c:v>
                </c:pt>
                <c:pt idx="488">
                  <c:v>157.38</c:v>
                </c:pt>
                <c:pt idx="489">
                  <c:v>158.66999999999999</c:v>
                </c:pt>
                <c:pt idx="490">
                  <c:v>158.96</c:v>
                </c:pt>
                <c:pt idx="491">
                  <c:v>157.59</c:v>
                </c:pt>
                <c:pt idx="492">
                  <c:v>157.69999999999999</c:v>
                </c:pt>
                <c:pt idx="493">
                  <c:v>157.69999999999999</c:v>
                </c:pt>
                <c:pt idx="494">
                  <c:v>160.62</c:v>
                </c:pt>
                <c:pt idx="495">
                  <c:v>158.62</c:v>
                </c:pt>
                <c:pt idx="496">
                  <c:v>159.03</c:v>
                </c:pt>
                <c:pt idx="497">
                  <c:v>157.58000000000001</c:v>
                </c:pt>
                <c:pt idx="498">
                  <c:v>160.09</c:v>
                </c:pt>
                <c:pt idx="499">
                  <c:v>162.09</c:v>
                </c:pt>
                <c:pt idx="500">
                  <c:v>161.34</c:v>
                </c:pt>
                <c:pt idx="501">
                  <c:v>163.28</c:v>
                </c:pt>
                <c:pt idx="502">
                  <c:v>162.13</c:v>
                </c:pt>
                <c:pt idx="503">
                  <c:v>163.18</c:v>
                </c:pt>
                <c:pt idx="504">
                  <c:v>166.17</c:v>
                </c:pt>
                <c:pt idx="505">
                  <c:v>167.1</c:v>
                </c:pt>
                <c:pt idx="506">
                  <c:v>167.1</c:v>
                </c:pt>
                <c:pt idx="507">
                  <c:v>166.5</c:v>
                </c:pt>
                <c:pt idx="508">
                  <c:v>165.7</c:v>
                </c:pt>
                <c:pt idx="509">
                  <c:v>166.72</c:v>
                </c:pt>
                <c:pt idx="510">
                  <c:v>165.04</c:v>
                </c:pt>
                <c:pt idx="511">
                  <c:v>162.28</c:v>
                </c:pt>
                <c:pt idx="512">
                  <c:v>165.46</c:v>
                </c:pt>
                <c:pt idx="513">
                  <c:v>168.04</c:v>
                </c:pt>
                <c:pt idx="514">
                  <c:v>172.78</c:v>
                </c:pt>
                <c:pt idx="515">
                  <c:v>170.23</c:v>
                </c:pt>
                <c:pt idx="516">
                  <c:v>174.38</c:v>
                </c:pt>
                <c:pt idx="517">
                  <c:v>180.12</c:v>
                </c:pt>
                <c:pt idx="518">
                  <c:v>179.9</c:v>
                </c:pt>
                <c:pt idx="519">
                  <c:v>183.63</c:v>
                </c:pt>
                <c:pt idx="520">
                  <c:v>183.89</c:v>
                </c:pt>
                <c:pt idx="521">
                  <c:v>188.7</c:v>
                </c:pt>
                <c:pt idx="522">
                  <c:v>184.44</c:v>
                </c:pt>
                <c:pt idx="523">
                  <c:v>184.71</c:v>
                </c:pt>
                <c:pt idx="524">
                  <c:v>183.71</c:v>
                </c:pt>
                <c:pt idx="525">
                  <c:v>185.35</c:v>
                </c:pt>
                <c:pt idx="526">
                  <c:v>185.35</c:v>
                </c:pt>
                <c:pt idx="527">
                  <c:v>187.23</c:v>
                </c:pt>
                <c:pt idx="528">
                  <c:v>187.28</c:v>
                </c:pt>
                <c:pt idx="529">
                  <c:v>184.42</c:v>
                </c:pt>
                <c:pt idx="530">
                  <c:v>178.59</c:v>
                </c:pt>
                <c:pt idx="531">
                  <c:v>170.89</c:v>
                </c:pt>
                <c:pt idx="532">
                  <c:v>168.07</c:v>
                </c:pt>
                <c:pt idx="533">
                  <c:v>170.17</c:v>
                </c:pt>
                <c:pt idx="534">
                  <c:v>158.18</c:v>
                </c:pt>
                <c:pt idx="535">
                  <c:v>162.01</c:v>
                </c:pt>
                <c:pt idx="536">
                  <c:v>172.79</c:v>
                </c:pt>
                <c:pt idx="537">
                  <c:v>164.51</c:v>
                </c:pt>
                <c:pt idx="538">
                  <c:v>170.55</c:v>
                </c:pt>
                <c:pt idx="539">
                  <c:v>166.27</c:v>
                </c:pt>
                <c:pt idx="540">
                  <c:v>161.57</c:v>
                </c:pt>
                <c:pt idx="541">
                  <c:v>150.62</c:v>
                </c:pt>
                <c:pt idx="542">
                  <c:v>160.91999999999999</c:v>
                </c:pt>
                <c:pt idx="543">
                  <c:v>153.63</c:v>
                </c:pt>
                <c:pt idx="544">
                  <c:v>139.06</c:v>
                </c:pt>
                <c:pt idx="545">
                  <c:v>158.83000000000001</c:v>
                </c:pt>
                <c:pt idx="546">
                  <c:v>135.41999999999999</c:v>
                </c:pt>
                <c:pt idx="547">
                  <c:v>146.57</c:v>
                </c:pt>
                <c:pt idx="548">
                  <c:v>140.4</c:v>
                </c:pt>
                <c:pt idx="549">
                  <c:v>142.71</c:v>
                </c:pt>
                <c:pt idx="550">
                  <c:v>137.35</c:v>
                </c:pt>
                <c:pt idx="551">
                  <c:v>135.97999999999999</c:v>
                </c:pt>
                <c:pt idx="552">
                  <c:v>148.34</c:v>
                </c:pt>
                <c:pt idx="553">
                  <c:v>146.91999999999999</c:v>
                </c:pt>
                <c:pt idx="554">
                  <c:v>156.11000000000001</c:v>
                </c:pt>
                <c:pt idx="555">
                  <c:v>149.69999999999999</c:v>
                </c:pt>
                <c:pt idx="556">
                  <c:v>160.22999999999999</c:v>
                </c:pt>
                <c:pt idx="557">
                  <c:v>157.71</c:v>
                </c:pt>
                <c:pt idx="558">
                  <c:v>152.11000000000001</c:v>
                </c:pt>
                <c:pt idx="559">
                  <c:v>155.26</c:v>
                </c:pt>
                <c:pt idx="560">
                  <c:v>153.83000000000001</c:v>
                </c:pt>
                <c:pt idx="561">
                  <c:v>165.27</c:v>
                </c:pt>
                <c:pt idx="562">
                  <c:v>163.49</c:v>
                </c:pt>
                <c:pt idx="563">
                  <c:v>165.13</c:v>
                </c:pt>
                <c:pt idx="564">
                  <c:v>165.14</c:v>
                </c:pt>
                <c:pt idx="565">
                  <c:v>165.14</c:v>
                </c:pt>
                <c:pt idx="566">
                  <c:v>165.51</c:v>
                </c:pt>
                <c:pt idx="567">
                  <c:v>173.7</c:v>
                </c:pt>
                <c:pt idx="568">
                  <c:v>171.88</c:v>
                </c:pt>
                <c:pt idx="569">
                  <c:v>177.04</c:v>
                </c:pt>
                <c:pt idx="570">
                  <c:v>178.6</c:v>
                </c:pt>
                <c:pt idx="571">
                  <c:v>175.06</c:v>
                </c:pt>
                <c:pt idx="572">
                  <c:v>167.82</c:v>
                </c:pt>
                <c:pt idx="573">
                  <c:v>173.52</c:v>
                </c:pt>
                <c:pt idx="574">
                  <c:v>171.42</c:v>
                </c:pt>
                <c:pt idx="575">
                  <c:v>174.55</c:v>
                </c:pt>
                <c:pt idx="576">
                  <c:v>174.05</c:v>
                </c:pt>
                <c:pt idx="577">
                  <c:v>169.81</c:v>
                </c:pt>
                <c:pt idx="578">
                  <c:v>177.43</c:v>
                </c:pt>
                <c:pt idx="579">
                  <c:v>179.21</c:v>
                </c:pt>
                <c:pt idx="580">
                  <c:v>174.57</c:v>
                </c:pt>
                <c:pt idx="581">
                  <c:v>178.84</c:v>
                </c:pt>
                <c:pt idx="582">
                  <c:v>180.76</c:v>
                </c:pt>
                <c:pt idx="583">
                  <c:v>182.54</c:v>
                </c:pt>
                <c:pt idx="584">
                  <c:v>183.6</c:v>
                </c:pt>
                <c:pt idx="585">
                  <c:v>184.68</c:v>
                </c:pt>
                <c:pt idx="586">
                  <c:v>186.74</c:v>
                </c:pt>
                <c:pt idx="587">
                  <c:v>182.51</c:v>
                </c:pt>
                <c:pt idx="588">
                  <c:v>179.75</c:v>
                </c:pt>
                <c:pt idx="589">
                  <c:v>180.53</c:v>
                </c:pt>
                <c:pt idx="590">
                  <c:v>183.16</c:v>
                </c:pt>
                <c:pt idx="591">
                  <c:v>184.91</c:v>
                </c:pt>
                <c:pt idx="592">
                  <c:v>183.63</c:v>
                </c:pt>
                <c:pt idx="593">
                  <c:v>185.66</c:v>
                </c:pt>
                <c:pt idx="594">
                  <c:v>183.43</c:v>
                </c:pt>
                <c:pt idx="595">
                  <c:v>183.51</c:v>
                </c:pt>
                <c:pt idx="596">
                  <c:v>183.51</c:v>
                </c:pt>
                <c:pt idx="597">
                  <c:v>181.57</c:v>
                </c:pt>
                <c:pt idx="598">
                  <c:v>181.81</c:v>
                </c:pt>
                <c:pt idx="599">
                  <c:v>181.4</c:v>
                </c:pt>
                <c:pt idx="600">
                  <c:v>183.25</c:v>
                </c:pt>
                <c:pt idx="601">
                  <c:v>182.83</c:v>
                </c:pt>
                <c:pt idx="602">
                  <c:v>184.91</c:v>
                </c:pt>
                <c:pt idx="603">
                  <c:v>185.36</c:v>
                </c:pt>
                <c:pt idx="604">
                  <c:v>182.92</c:v>
                </c:pt>
                <c:pt idx="605">
                  <c:v>187.2</c:v>
                </c:pt>
                <c:pt idx="606">
                  <c:v>188.36</c:v>
                </c:pt>
                <c:pt idx="607">
                  <c:v>189.8</c:v>
                </c:pt>
                <c:pt idx="608">
                  <c:v>196.84</c:v>
                </c:pt>
                <c:pt idx="609">
                  <c:v>186.27</c:v>
                </c:pt>
                <c:pt idx="610">
                  <c:v>187.74</c:v>
                </c:pt>
                <c:pt idx="611">
                  <c:v>188.94</c:v>
                </c:pt>
                <c:pt idx="612">
                  <c:v>193.57</c:v>
                </c:pt>
                <c:pt idx="613">
                  <c:v>194.24</c:v>
                </c:pt>
                <c:pt idx="614">
                  <c:v>196.32</c:v>
                </c:pt>
                <c:pt idx="615">
                  <c:v>195.15</c:v>
                </c:pt>
                <c:pt idx="616">
                  <c:v>200.57</c:v>
                </c:pt>
                <c:pt idx="617">
                  <c:v>201.91</c:v>
                </c:pt>
                <c:pt idx="618">
                  <c:v>197.84</c:v>
                </c:pt>
                <c:pt idx="619">
                  <c:v>200.34</c:v>
                </c:pt>
                <c:pt idx="620">
                  <c:v>196.33</c:v>
                </c:pt>
                <c:pt idx="621">
                  <c:v>198.44</c:v>
                </c:pt>
                <c:pt idx="622">
                  <c:v>203.51</c:v>
                </c:pt>
                <c:pt idx="623">
                  <c:v>204.7</c:v>
                </c:pt>
                <c:pt idx="624">
                  <c:v>206.26</c:v>
                </c:pt>
                <c:pt idx="625">
                  <c:v>206.26</c:v>
                </c:pt>
                <c:pt idx="626">
                  <c:v>210.7</c:v>
                </c:pt>
                <c:pt idx="627">
                  <c:v>208.25</c:v>
                </c:pt>
                <c:pt idx="628">
                  <c:v>212.83</c:v>
                </c:pt>
                <c:pt idx="629">
                  <c:v>214.32</c:v>
                </c:pt>
                <c:pt idx="630">
                  <c:v>213.67</c:v>
                </c:pt>
                <c:pt idx="631">
                  <c:v>207.07</c:v>
                </c:pt>
                <c:pt idx="632">
                  <c:v>208.35</c:v>
                </c:pt>
                <c:pt idx="633">
                  <c:v>208.04</c:v>
                </c:pt>
                <c:pt idx="634">
                  <c:v>203.92</c:v>
                </c:pt>
                <c:pt idx="635">
                  <c:v>202.88</c:v>
                </c:pt>
                <c:pt idx="636">
                  <c:v>211.6</c:v>
                </c:pt>
                <c:pt idx="637">
                  <c:v>208.75</c:v>
                </c:pt>
                <c:pt idx="638">
                  <c:v>211.75</c:v>
                </c:pt>
                <c:pt idx="639">
                  <c:v>202.54</c:v>
                </c:pt>
                <c:pt idx="640">
                  <c:v>201.3</c:v>
                </c:pt>
                <c:pt idx="641">
                  <c:v>203.85</c:v>
                </c:pt>
                <c:pt idx="642">
                  <c:v>202.02</c:v>
                </c:pt>
                <c:pt idx="643">
                  <c:v>204.06</c:v>
                </c:pt>
                <c:pt idx="644">
                  <c:v>203.9</c:v>
                </c:pt>
                <c:pt idx="645">
                  <c:v>205.01</c:v>
                </c:pt>
                <c:pt idx="646">
                  <c:v>216.54</c:v>
                </c:pt>
                <c:pt idx="647">
                  <c:v>213.29</c:v>
                </c:pt>
                <c:pt idx="648">
                  <c:v>212.94</c:v>
                </c:pt>
                <c:pt idx="649">
                  <c:v>216.35</c:v>
                </c:pt>
                <c:pt idx="650">
                  <c:v>212.48</c:v>
                </c:pt>
                <c:pt idx="651">
                  <c:v>208.25</c:v>
                </c:pt>
                <c:pt idx="652">
                  <c:v>203.38</c:v>
                </c:pt>
                <c:pt idx="653">
                  <c:v>209.19</c:v>
                </c:pt>
                <c:pt idx="654">
                  <c:v>208.7</c:v>
                </c:pt>
                <c:pt idx="655">
                  <c:v>208.9</c:v>
                </c:pt>
                <c:pt idx="656">
                  <c:v>210.28</c:v>
                </c:pt>
                <c:pt idx="657">
                  <c:v>211.49</c:v>
                </c:pt>
                <c:pt idx="658">
                  <c:v>209.7</c:v>
                </c:pt>
                <c:pt idx="659">
                  <c:v>214.58</c:v>
                </c:pt>
                <c:pt idx="660">
                  <c:v>213.02</c:v>
                </c:pt>
                <c:pt idx="661">
                  <c:v>213.69</c:v>
                </c:pt>
                <c:pt idx="662">
                  <c:v>216.47</c:v>
                </c:pt>
                <c:pt idx="663">
                  <c:v>221.15</c:v>
                </c:pt>
                <c:pt idx="664">
                  <c:v>226.58</c:v>
                </c:pt>
                <c:pt idx="665">
                  <c:v>228.91</c:v>
                </c:pt>
                <c:pt idx="666">
                  <c:v>225.53</c:v>
                </c:pt>
                <c:pt idx="667">
                  <c:v>227.27</c:v>
                </c:pt>
                <c:pt idx="668">
                  <c:v>231.65</c:v>
                </c:pt>
                <c:pt idx="669">
                  <c:v>217.3</c:v>
                </c:pt>
                <c:pt idx="670">
                  <c:v>214.25</c:v>
                </c:pt>
                <c:pt idx="671">
                  <c:v>214.25</c:v>
                </c:pt>
                <c:pt idx="672">
                  <c:v>202.66</c:v>
                </c:pt>
                <c:pt idx="673">
                  <c:v>211.29</c:v>
                </c:pt>
                <c:pt idx="674">
                  <c:v>205.37</c:v>
                </c:pt>
                <c:pt idx="675">
                  <c:v>204.03</c:v>
                </c:pt>
                <c:pt idx="676">
                  <c:v>205.41</c:v>
                </c:pt>
                <c:pt idx="677">
                  <c:v>208.78</c:v>
                </c:pt>
                <c:pt idx="678">
                  <c:v>205.05</c:v>
                </c:pt>
                <c:pt idx="679">
                  <c:v>202.91</c:v>
                </c:pt>
                <c:pt idx="680">
                  <c:v>200.39</c:v>
                </c:pt>
                <c:pt idx="681">
                  <c:v>202.54</c:v>
                </c:pt>
                <c:pt idx="682">
                  <c:v>207.42</c:v>
                </c:pt>
                <c:pt idx="683">
                  <c:v>200.59</c:v>
                </c:pt>
                <c:pt idx="684">
                  <c:v>203.19</c:v>
                </c:pt>
                <c:pt idx="685">
                  <c:v>207.82</c:v>
                </c:pt>
                <c:pt idx="686">
                  <c:v>209.44</c:v>
                </c:pt>
                <c:pt idx="687">
                  <c:v>207.26</c:v>
                </c:pt>
                <c:pt idx="688">
                  <c:v>210.33</c:v>
                </c:pt>
                <c:pt idx="689">
                  <c:v>212.46</c:v>
                </c:pt>
                <c:pt idx="690">
                  <c:v>206.19</c:v>
                </c:pt>
                <c:pt idx="691">
                  <c:v>210.38</c:v>
                </c:pt>
                <c:pt idx="692">
                  <c:v>205.91</c:v>
                </c:pt>
                <c:pt idx="693">
                  <c:v>209.83</c:v>
                </c:pt>
                <c:pt idx="694">
                  <c:v>210.58</c:v>
                </c:pt>
                <c:pt idx="695">
                  <c:v>215.81</c:v>
                </c:pt>
                <c:pt idx="696">
                  <c:v>221.4</c:v>
                </c:pt>
                <c:pt idx="697">
                  <c:v>222.86</c:v>
                </c:pt>
                <c:pt idx="698">
                  <c:v>220.86</c:v>
                </c:pt>
                <c:pt idx="699">
                  <c:v>219.66</c:v>
                </c:pt>
                <c:pt idx="700">
                  <c:v>219.66</c:v>
                </c:pt>
                <c:pt idx="701">
                  <c:v>214.22</c:v>
                </c:pt>
                <c:pt idx="702">
                  <c:v>214.65</c:v>
                </c:pt>
                <c:pt idx="703">
                  <c:v>214.8</c:v>
                </c:pt>
                <c:pt idx="704">
                  <c:v>214.89</c:v>
                </c:pt>
                <c:pt idx="705">
                  <c:v>216.23</c:v>
                </c:pt>
                <c:pt idx="706">
                  <c:v>210.08</c:v>
                </c:pt>
                <c:pt idx="707">
                  <c:v>213.25</c:v>
                </c:pt>
                <c:pt idx="708">
                  <c:v>202.68</c:v>
                </c:pt>
                <c:pt idx="709">
                  <c:v>204.72</c:v>
                </c:pt>
                <c:pt idx="710">
                  <c:v>202.47</c:v>
                </c:pt>
                <c:pt idx="711">
                  <c:v>202.33</c:v>
                </c:pt>
                <c:pt idx="712">
                  <c:v>206.43</c:v>
                </c:pt>
                <c:pt idx="713">
                  <c:v>216.39</c:v>
                </c:pt>
                <c:pt idx="714">
                  <c:v>223.29</c:v>
                </c:pt>
                <c:pt idx="715">
                  <c:v>223.72</c:v>
                </c:pt>
                <c:pt idx="716">
                  <c:v>218.39</c:v>
                </c:pt>
                <c:pt idx="717">
                  <c:v>211.01</c:v>
                </c:pt>
                <c:pt idx="718">
                  <c:v>216.55</c:v>
                </c:pt>
                <c:pt idx="719">
                  <c:v>215.44</c:v>
                </c:pt>
                <c:pt idx="720">
                  <c:v>216.51</c:v>
                </c:pt>
                <c:pt idx="721">
                  <c:v>217.23</c:v>
                </c:pt>
                <c:pt idx="722">
                  <c:v>214.46</c:v>
                </c:pt>
                <c:pt idx="723">
                  <c:v>211.08</c:v>
                </c:pt>
                <c:pt idx="724">
                  <c:v>212.42</c:v>
                </c:pt>
                <c:pt idx="725">
                  <c:v>210.39</c:v>
                </c:pt>
                <c:pt idx="726">
                  <c:v>210.11</c:v>
                </c:pt>
                <c:pt idx="727">
                  <c:v>213.86</c:v>
                </c:pt>
                <c:pt idx="728">
                  <c:v>213.87</c:v>
                </c:pt>
                <c:pt idx="729">
                  <c:v>213.87</c:v>
                </c:pt>
                <c:pt idx="730">
                  <c:v>215.23</c:v>
                </c:pt>
                <c:pt idx="731">
                  <c:v>214.07</c:v>
                </c:pt>
                <c:pt idx="732">
                  <c:v>216.21</c:v>
                </c:pt>
                <c:pt idx="733">
                  <c:v>215.37</c:v>
                </c:pt>
                <c:pt idx="734">
                  <c:v>214.24</c:v>
                </c:pt>
                <c:pt idx="735">
                  <c:v>214.36</c:v>
                </c:pt>
                <c:pt idx="736">
                  <c:v>214.29</c:v>
                </c:pt>
                <c:pt idx="737">
                  <c:v>216.01</c:v>
                </c:pt>
                <c:pt idx="738">
                  <c:v>211.8</c:v>
                </c:pt>
                <c:pt idx="739">
                  <c:v>210.52</c:v>
                </c:pt>
                <c:pt idx="740">
                  <c:v>213.26</c:v>
                </c:pt>
                <c:pt idx="741">
                  <c:v>214.2</c:v>
                </c:pt>
                <c:pt idx="742">
                  <c:v>214.13</c:v>
                </c:pt>
                <c:pt idx="743">
                  <c:v>219.28</c:v>
                </c:pt>
                <c:pt idx="744">
                  <c:v>219.42</c:v>
                </c:pt>
                <c:pt idx="745">
                  <c:v>218.59</c:v>
                </c:pt>
                <c:pt idx="746">
                  <c:v>222.59</c:v>
                </c:pt>
                <c:pt idx="747">
                  <c:v>223.94</c:v>
                </c:pt>
                <c:pt idx="748">
                  <c:v>221.02</c:v>
                </c:pt>
                <c:pt idx="749">
                  <c:v>222.75</c:v>
                </c:pt>
                <c:pt idx="750">
                  <c:v>222.75</c:v>
                </c:pt>
                <c:pt idx="751">
                  <c:v>224.96</c:v>
                </c:pt>
                <c:pt idx="752">
                  <c:v>224.15</c:v>
                </c:pt>
                <c:pt idx="753">
                  <c:v>221.68</c:v>
                </c:pt>
                <c:pt idx="754">
                  <c:v>222.42</c:v>
                </c:pt>
                <c:pt idx="755">
                  <c:v>222.42</c:v>
                </c:pt>
                <c:pt idx="756">
                  <c:v>217.69</c:v>
                </c:pt>
                <c:pt idx="757">
                  <c:v>217.9</c:v>
                </c:pt>
                <c:pt idx="758">
                  <c:v>212.25</c:v>
                </c:pt>
                <c:pt idx="759">
                  <c:v>218.29</c:v>
                </c:pt>
                <c:pt idx="760">
                  <c:v>219.62</c:v>
                </c:pt>
                <c:pt idx="761">
                  <c:v>217.49</c:v>
                </c:pt>
                <c:pt idx="762">
                  <c:v>214.93</c:v>
                </c:pt>
                <c:pt idx="763">
                  <c:v>216.34</c:v>
                </c:pt>
                <c:pt idx="764">
                  <c:v>213.02</c:v>
                </c:pt>
                <c:pt idx="765">
                  <c:v>212.65</c:v>
                </c:pt>
                <c:pt idx="766">
                  <c:v>212.65</c:v>
                </c:pt>
                <c:pt idx="767">
                  <c:v>216.44</c:v>
                </c:pt>
                <c:pt idx="768">
                  <c:v>224.34</c:v>
                </c:pt>
                <c:pt idx="769">
                  <c:v>224.97</c:v>
                </c:pt>
                <c:pt idx="770">
                  <c:v>225.95</c:v>
                </c:pt>
                <c:pt idx="771">
                  <c:v>229.53</c:v>
                </c:pt>
                <c:pt idx="772">
                  <c:v>232.33</c:v>
                </c:pt>
                <c:pt idx="773">
                  <c:v>232.9</c:v>
                </c:pt>
                <c:pt idx="774">
                  <c:v>238.93</c:v>
                </c:pt>
                <c:pt idx="775">
                  <c:v>231.96</c:v>
                </c:pt>
                <c:pt idx="776">
                  <c:v>239.65</c:v>
                </c:pt>
                <c:pt idx="777">
                  <c:v>239.51</c:v>
                </c:pt>
                <c:pt idx="778">
                  <c:v>243</c:v>
                </c:pt>
                <c:pt idx="779">
                  <c:v>242.01</c:v>
                </c:pt>
                <c:pt idx="780">
                  <c:v>242.2</c:v>
                </c:pt>
                <c:pt idx="781">
                  <c:v>242.47</c:v>
                </c:pt>
                <c:pt idx="782">
                  <c:v>243.77</c:v>
                </c:pt>
                <c:pt idx="783">
                  <c:v>242.82</c:v>
                </c:pt>
                <c:pt idx="784">
                  <c:v>244.49</c:v>
                </c:pt>
                <c:pt idx="785">
                  <c:v>244.99</c:v>
                </c:pt>
                <c:pt idx="786">
                  <c:v>244.99</c:v>
                </c:pt>
                <c:pt idx="787">
                  <c:v>243.7</c:v>
                </c:pt>
                <c:pt idx="788">
                  <c:v>244.2</c:v>
                </c:pt>
                <c:pt idx="789">
                  <c:v>243.79</c:v>
                </c:pt>
                <c:pt idx="790">
                  <c:v>240.97</c:v>
                </c:pt>
                <c:pt idx="791">
                  <c:v>234.51</c:v>
                </c:pt>
                <c:pt idx="792">
                  <c:v>233.27</c:v>
                </c:pt>
                <c:pt idx="793">
                  <c:v>234.55</c:v>
                </c:pt>
                <c:pt idx="794">
                  <c:v>228.99</c:v>
                </c:pt>
                <c:pt idx="795">
                  <c:v>232.38</c:v>
                </c:pt>
                <c:pt idx="796">
                  <c:v>236.94</c:v>
                </c:pt>
                <c:pt idx="797">
                  <c:v>233.87</c:v>
                </c:pt>
                <c:pt idx="798">
                  <c:v>227.56</c:v>
                </c:pt>
                <c:pt idx="799">
                  <c:v>226.73</c:v>
                </c:pt>
                <c:pt idx="800">
                  <c:v>231.6</c:v>
                </c:pt>
                <c:pt idx="801">
                  <c:v>227.39</c:v>
                </c:pt>
                <c:pt idx="802">
                  <c:v>233.78</c:v>
                </c:pt>
                <c:pt idx="803">
                  <c:v>232.42</c:v>
                </c:pt>
                <c:pt idx="804">
                  <c:v>237.13</c:v>
                </c:pt>
                <c:pt idx="805">
                  <c:v>235.75</c:v>
                </c:pt>
                <c:pt idx="806">
                  <c:v>234.81</c:v>
                </c:pt>
                <c:pt idx="807">
                  <c:v>237.71</c:v>
                </c:pt>
                <c:pt idx="808">
                  <c:v>237.04</c:v>
                </c:pt>
                <c:pt idx="809">
                  <c:v>230.72</c:v>
                </c:pt>
                <c:pt idx="810">
                  <c:v>230.35</c:v>
                </c:pt>
                <c:pt idx="811">
                  <c:v>235.99</c:v>
                </c:pt>
                <c:pt idx="812">
                  <c:v>237.58</c:v>
                </c:pt>
                <c:pt idx="813">
                  <c:v>235.46</c:v>
                </c:pt>
                <c:pt idx="814">
                  <c:v>232.34</c:v>
                </c:pt>
                <c:pt idx="815">
                  <c:v>236.48</c:v>
                </c:pt>
                <c:pt idx="816">
                  <c:v>235.24</c:v>
                </c:pt>
                <c:pt idx="817">
                  <c:v>231.85</c:v>
                </c:pt>
                <c:pt idx="818">
                  <c:v>235.77</c:v>
                </c:pt>
                <c:pt idx="819">
                  <c:v>242.35</c:v>
                </c:pt>
                <c:pt idx="820">
                  <c:v>242.35</c:v>
                </c:pt>
                <c:pt idx="821">
                  <c:v>249.07</c:v>
                </c:pt>
                <c:pt idx="822">
                  <c:v>247.86</c:v>
                </c:pt>
                <c:pt idx="823">
                  <c:v>249.9</c:v>
                </c:pt>
                <c:pt idx="824">
                  <c:v>253.25</c:v>
                </c:pt>
                <c:pt idx="825">
                  <c:v>255.85</c:v>
                </c:pt>
                <c:pt idx="826">
                  <c:v>255.91</c:v>
                </c:pt>
                <c:pt idx="827">
                  <c:v>258.49</c:v>
                </c:pt>
                <c:pt idx="828">
                  <c:v>255.59</c:v>
                </c:pt>
                <c:pt idx="829">
                  <c:v>259.5</c:v>
                </c:pt>
                <c:pt idx="830">
                  <c:v>260.74</c:v>
                </c:pt>
                <c:pt idx="831">
                  <c:v>258.74</c:v>
                </c:pt>
                <c:pt idx="832">
                  <c:v>258.26</c:v>
                </c:pt>
                <c:pt idx="833">
                  <c:v>260.58010000000002</c:v>
                </c:pt>
                <c:pt idx="834">
                  <c:v>257.16989999999998</c:v>
                </c:pt>
                <c:pt idx="835">
                  <c:v>261.1499</c:v>
                </c:pt>
                <c:pt idx="836">
                  <c:v>261.55</c:v>
                </c:pt>
                <c:pt idx="837">
                  <c:v>261.97000000000003</c:v>
                </c:pt>
                <c:pt idx="838">
                  <c:v>254.56</c:v>
                </c:pt>
                <c:pt idx="839">
                  <c:v>252.51</c:v>
                </c:pt>
                <c:pt idx="840">
                  <c:v>252.18</c:v>
                </c:pt>
                <c:pt idx="841">
                  <c:v>251.86</c:v>
                </c:pt>
                <c:pt idx="842">
                  <c:v>247.79</c:v>
                </c:pt>
                <c:pt idx="843">
                  <c:v>246.47</c:v>
                </c:pt>
                <c:pt idx="844">
                  <c:v>249.73</c:v>
                </c:pt>
                <c:pt idx="845">
                  <c:v>252.46</c:v>
                </c:pt>
                <c:pt idx="846">
                  <c:v>247.18</c:v>
                </c:pt>
                <c:pt idx="847">
                  <c:v>246.23</c:v>
                </c:pt>
                <c:pt idx="848">
                  <c:v>239</c:v>
                </c:pt>
                <c:pt idx="849">
                  <c:v>243.03</c:v>
                </c:pt>
                <c:pt idx="850">
                  <c:v>248.15</c:v>
                </c:pt>
                <c:pt idx="851">
                  <c:v>245.18</c:v>
                </c:pt>
                <c:pt idx="852">
                  <c:v>243.08</c:v>
                </c:pt>
                <c:pt idx="853">
                  <c:v>243.12</c:v>
                </c:pt>
                <c:pt idx="854">
                  <c:v>246.48</c:v>
                </c:pt>
                <c:pt idx="855">
                  <c:v>245.17</c:v>
                </c:pt>
                <c:pt idx="856">
                  <c:v>250.78</c:v>
                </c:pt>
                <c:pt idx="857">
                  <c:v>251.72</c:v>
                </c:pt>
                <c:pt idx="858">
                  <c:v>251.49</c:v>
                </c:pt>
                <c:pt idx="859">
                  <c:v>249.31</c:v>
                </c:pt>
                <c:pt idx="860">
                  <c:v>249.68</c:v>
                </c:pt>
                <c:pt idx="861">
                  <c:v>249.68</c:v>
                </c:pt>
                <c:pt idx="862">
                  <c:v>247.4</c:v>
                </c:pt>
                <c:pt idx="863">
                  <c:v>247.3</c:v>
                </c:pt>
                <c:pt idx="864">
                  <c:v>245.71</c:v>
                </c:pt>
                <c:pt idx="865">
                  <c:v>250.79</c:v>
                </c:pt>
                <c:pt idx="866">
                  <c:v>253.81</c:v>
                </c:pt>
                <c:pt idx="867">
                  <c:v>252.57</c:v>
                </c:pt>
                <c:pt idx="868">
                  <c:v>253.59</c:v>
                </c:pt>
                <c:pt idx="869">
                  <c:v>257.24</c:v>
                </c:pt>
                <c:pt idx="870">
                  <c:v>257.88990000000001</c:v>
                </c:pt>
                <c:pt idx="871">
                  <c:v>259.88990000000001</c:v>
                </c:pt>
                <c:pt idx="872">
                  <c:v>258.36009999999999</c:v>
                </c:pt>
                <c:pt idx="873">
                  <c:v>257.37990000000002</c:v>
                </c:pt>
                <c:pt idx="874">
                  <c:v>260.8999</c:v>
                </c:pt>
                <c:pt idx="875">
                  <c:v>259.42989999999998</c:v>
                </c:pt>
                <c:pt idx="876">
                  <c:v>262.62990000000002</c:v>
                </c:pt>
                <c:pt idx="877">
                  <c:v>265.51</c:v>
                </c:pt>
                <c:pt idx="878">
                  <c:v>265.2749</c:v>
                </c:pt>
                <c:pt idx="879">
                  <c:v>266.68990000000002</c:v>
                </c:pt>
                <c:pt idx="880">
                  <c:v>265.02</c:v>
                </c:pt>
                <c:pt idx="881">
                  <c:v>268.72000000000003</c:v>
                </c:pt>
                <c:pt idx="882">
                  <c:v>271.3999</c:v>
                </c:pt>
                <c:pt idx="883">
                  <c:v>270.8999</c:v>
                </c:pt>
                <c:pt idx="884">
                  <c:v>271.6001</c:v>
                </c:pt>
                <c:pt idx="885">
                  <c:v>277.6499</c:v>
                </c:pt>
                <c:pt idx="886">
                  <c:v>277.6499</c:v>
                </c:pt>
                <c:pt idx="887">
                  <c:v>277.65989999999999</c:v>
                </c:pt>
                <c:pt idx="888">
                  <c:v>279.92989999999998</c:v>
                </c:pt>
                <c:pt idx="889">
                  <c:v>277.41989999999998</c:v>
                </c:pt>
                <c:pt idx="890">
                  <c:v>277.93990000000002</c:v>
                </c:pt>
                <c:pt idx="891">
                  <c:v>277.32010000000002</c:v>
                </c:pt>
                <c:pt idx="892">
                  <c:v>280.98</c:v>
                </c:pt>
                <c:pt idx="893">
                  <c:v>282.51</c:v>
                </c:pt>
                <c:pt idx="894">
                  <c:v>281.02999999999997</c:v>
                </c:pt>
                <c:pt idx="895">
                  <c:v>280.75</c:v>
                </c:pt>
                <c:pt idx="896">
                  <c:v>277.01</c:v>
                </c:pt>
                <c:pt idx="897">
                  <c:v>279.32010000000002</c:v>
                </c:pt>
                <c:pt idx="898">
                  <c:v>281.3999</c:v>
                </c:pt>
                <c:pt idx="899">
                  <c:v>286.13990000000001</c:v>
                </c:pt>
                <c:pt idx="900">
                  <c:v>289.66989999999998</c:v>
                </c:pt>
                <c:pt idx="901">
                  <c:v>289.05</c:v>
                </c:pt>
                <c:pt idx="902">
                  <c:v>286.54000000000002</c:v>
                </c:pt>
                <c:pt idx="903">
                  <c:v>286.22000000000003</c:v>
                </c:pt>
                <c:pt idx="904">
                  <c:v>286.5</c:v>
                </c:pt>
                <c:pt idx="905">
                  <c:v>284.90989999999999</c:v>
                </c:pt>
                <c:pt idx="906">
                  <c:v>284.82010000000002</c:v>
                </c:pt>
                <c:pt idx="907">
                  <c:v>287.12009999999998</c:v>
                </c:pt>
                <c:pt idx="908">
                  <c:v>286.51</c:v>
                </c:pt>
                <c:pt idx="909">
                  <c:v>289.52</c:v>
                </c:pt>
                <c:pt idx="910">
                  <c:v>289.45999999999998</c:v>
                </c:pt>
                <c:pt idx="911">
                  <c:v>288.33010000000002</c:v>
                </c:pt>
                <c:pt idx="912">
                  <c:v>286.43990000000002</c:v>
                </c:pt>
                <c:pt idx="913">
                  <c:v>286.95</c:v>
                </c:pt>
                <c:pt idx="914">
                  <c:v>289.81009999999998</c:v>
                </c:pt>
                <c:pt idx="915">
                  <c:v>292.8501</c:v>
                </c:pt>
                <c:pt idx="916">
                  <c:v>294.6001</c:v>
                </c:pt>
                <c:pt idx="917">
                  <c:v>293.08010000000002</c:v>
                </c:pt>
                <c:pt idx="918">
                  <c:v>290.73</c:v>
                </c:pt>
                <c:pt idx="919">
                  <c:v>296.77</c:v>
                </c:pt>
                <c:pt idx="920">
                  <c:v>304.36009999999999</c:v>
                </c:pt>
                <c:pt idx="921">
                  <c:v>304.6499</c:v>
                </c:pt>
                <c:pt idx="922">
                  <c:v>302.62009999999998</c:v>
                </c:pt>
                <c:pt idx="923">
                  <c:v>302.01</c:v>
                </c:pt>
                <c:pt idx="924">
                  <c:v>299.09010000000001</c:v>
                </c:pt>
                <c:pt idx="925">
                  <c:v>299.72000000000003</c:v>
                </c:pt>
                <c:pt idx="926">
                  <c:v>303.59010000000001</c:v>
                </c:pt>
                <c:pt idx="927">
                  <c:v>301.87990000000002</c:v>
                </c:pt>
                <c:pt idx="928">
                  <c:v>301.83010000000002</c:v>
                </c:pt>
                <c:pt idx="929">
                  <c:v>301.1499</c:v>
                </c:pt>
                <c:pt idx="930">
                  <c:v>301.13990000000001</c:v>
                </c:pt>
                <c:pt idx="931">
                  <c:v>301.13990000000001</c:v>
                </c:pt>
                <c:pt idx="932">
                  <c:v>300.17989999999998</c:v>
                </c:pt>
                <c:pt idx="933">
                  <c:v>300.20999999999998</c:v>
                </c:pt>
                <c:pt idx="934">
                  <c:v>297.25</c:v>
                </c:pt>
                <c:pt idx="935">
                  <c:v>295.70999999999998</c:v>
                </c:pt>
                <c:pt idx="936">
                  <c:v>296.99</c:v>
                </c:pt>
                <c:pt idx="937">
                  <c:v>299.79000000000002</c:v>
                </c:pt>
                <c:pt idx="938">
                  <c:v>304.82010000000002</c:v>
                </c:pt>
                <c:pt idx="939">
                  <c:v>305.22000000000003</c:v>
                </c:pt>
                <c:pt idx="940">
                  <c:v>299.87009999999998</c:v>
                </c:pt>
                <c:pt idx="941">
                  <c:v>294.3</c:v>
                </c:pt>
                <c:pt idx="942">
                  <c:v>294.8</c:v>
                </c:pt>
                <c:pt idx="943">
                  <c:v>298.58010000000002</c:v>
                </c:pt>
                <c:pt idx="944">
                  <c:v>299.56009999999998</c:v>
                </c:pt>
                <c:pt idx="945">
                  <c:v>299.3501</c:v>
                </c:pt>
                <c:pt idx="946">
                  <c:v>294.16989999999998</c:v>
                </c:pt>
                <c:pt idx="947">
                  <c:v>283.52</c:v>
                </c:pt>
                <c:pt idx="948">
                  <c:v>284</c:v>
                </c:pt>
                <c:pt idx="949">
                  <c:v>281.91989999999998</c:v>
                </c:pt>
                <c:pt idx="950">
                  <c:v>289.1001</c:v>
                </c:pt>
                <c:pt idx="951">
                  <c:v>283.11009999999999</c:v>
                </c:pt>
                <c:pt idx="952">
                  <c:v>288.76</c:v>
                </c:pt>
                <c:pt idx="953">
                  <c:v>293.11009999999999</c:v>
                </c:pt>
                <c:pt idx="954">
                  <c:v>294.8501</c:v>
                </c:pt>
                <c:pt idx="955">
                  <c:v>294.8501</c:v>
                </c:pt>
                <c:pt idx="956">
                  <c:v>294.23</c:v>
                </c:pt>
                <c:pt idx="957">
                  <c:v>292.87990000000002</c:v>
                </c:pt>
                <c:pt idx="958">
                  <c:v>296.31009999999998</c:v>
                </c:pt>
                <c:pt idx="959">
                  <c:v>302.75</c:v>
                </c:pt>
                <c:pt idx="960">
                  <c:v>304.20999999999998</c:v>
                </c:pt>
                <c:pt idx="961">
                  <c:v>307.29000000000002</c:v>
                </c:pt>
                <c:pt idx="962">
                  <c:v>308.23</c:v>
                </c:pt>
                <c:pt idx="963">
                  <c:v>307.40989999999999</c:v>
                </c:pt>
                <c:pt idx="964">
                  <c:v>310.76</c:v>
                </c:pt>
                <c:pt idx="965">
                  <c:v>309.15989999999999</c:v>
                </c:pt>
                <c:pt idx="966">
                  <c:v>308.12990000000002</c:v>
                </c:pt>
                <c:pt idx="967">
                  <c:v>310.11009999999999</c:v>
                </c:pt>
                <c:pt idx="968">
                  <c:v>323.16989999999998</c:v>
                </c:pt>
                <c:pt idx="969">
                  <c:v>324.3501</c:v>
                </c:pt>
                <c:pt idx="970">
                  <c:v>331.62009999999998</c:v>
                </c:pt>
                <c:pt idx="971">
                  <c:v>329.37009999999998</c:v>
                </c:pt>
                <c:pt idx="972">
                  <c:v>333.12990000000002</c:v>
                </c:pt>
                <c:pt idx="973">
                  <c:v>334</c:v>
                </c:pt>
                <c:pt idx="974">
                  <c:v>336.43990000000002</c:v>
                </c:pt>
                <c:pt idx="975">
                  <c:v>336.06009999999998</c:v>
                </c:pt>
                <c:pt idx="976">
                  <c:v>336.99</c:v>
                </c:pt>
                <c:pt idx="977">
                  <c:v>335.95</c:v>
                </c:pt>
                <c:pt idx="978">
                  <c:v>330.8</c:v>
                </c:pt>
                <c:pt idx="979">
                  <c:v>332.42989999999998</c:v>
                </c:pt>
                <c:pt idx="980">
                  <c:v>336.72</c:v>
                </c:pt>
                <c:pt idx="981">
                  <c:v>336.07010000000002</c:v>
                </c:pt>
                <c:pt idx="982">
                  <c:v>339.51</c:v>
                </c:pt>
                <c:pt idx="983">
                  <c:v>339.12009999999998</c:v>
                </c:pt>
                <c:pt idx="984">
                  <c:v>341.27</c:v>
                </c:pt>
                <c:pt idx="985">
                  <c:v>343.11009999999999</c:v>
                </c:pt>
                <c:pt idx="986">
                  <c:v>339.83010000000002</c:v>
                </c:pt>
                <c:pt idx="987">
                  <c:v>337.67989999999998</c:v>
                </c:pt>
                <c:pt idx="988">
                  <c:v>337.90989999999999</c:v>
                </c:pt>
                <c:pt idx="989">
                  <c:v>337.90989999999999</c:v>
                </c:pt>
                <c:pt idx="990">
                  <c:v>329.67989999999998</c:v>
                </c:pt>
                <c:pt idx="991">
                  <c:v>336.62990000000002</c:v>
                </c:pt>
                <c:pt idx="992">
                  <c:v>330.59010000000001</c:v>
                </c:pt>
                <c:pt idx="993">
                  <c:v>330.08010000000002</c:v>
                </c:pt>
                <c:pt idx="994">
                  <c:v>329.49</c:v>
                </c:pt>
                <c:pt idx="995">
                  <c:v>323.01</c:v>
                </c:pt>
                <c:pt idx="996">
                  <c:v>326.18990000000002</c:v>
                </c:pt>
                <c:pt idx="997">
                  <c:v>334.91989999999998</c:v>
                </c:pt>
                <c:pt idx="998">
                  <c:v>334.97</c:v>
                </c:pt>
                <c:pt idx="999">
                  <c:v>333.1001</c:v>
                </c:pt>
                <c:pt idx="1000">
                  <c:v>342.54</c:v>
                </c:pt>
                <c:pt idx="1001">
                  <c:v>339.3999</c:v>
                </c:pt>
                <c:pt idx="1002">
                  <c:v>328.34010000000001</c:v>
                </c:pt>
                <c:pt idx="1003">
                  <c:v>334.6499</c:v>
                </c:pt>
                <c:pt idx="1004">
                  <c:v>324.8999</c:v>
                </c:pt>
                <c:pt idx="1005">
                  <c:v>323.8</c:v>
                </c:pt>
                <c:pt idx="1006">
                  <c:v>319.90989999999999</c:v>
                </c:pt>
                <c:pt idx="1007">
                  <c:v>327.29000000000002</c:v>
                </c:pt>
                <c:pt idx="1008">
                  <c:v>333.2</c:v>
                </c:pt>
                <c:pt idx="1009">
                  <c:v>334.68990000000002</c:v>
                </c:pt>
                <c:pt idx="1010">
                  <c:v>334.68990000000002</c:v>
                </c:pt>
                <c:pt idx="1011">
                  <c:v>342.45</c:v>
                </c:pt>
                <c:pt idx="1012">
                  <c:v>341.25</c:v>
                </c:pt>
                <c:pt idx="1013">
                  <c:v>341.95</c:v>
                </c:pt>
                <c:pt idx="1014">
                  <c:v>339.32010000000002</c:v>
                </c:pt>
                <c:pt idx="1015">
                  <c:v>336.32010000000002</c:v>
                </c:pt>
                <c:pt idx="1016">
                  <c:v>334.75</c:v>
                </c:pt>
                <c:pt idx="1017">
                  <c:v>329.01</c:v>
                </c:pt>
                <c:pt idx="1018">
                  <c:v>316.37990000000002</c:v>
                </c:pt>
                <c:pt idx="1019">
                  <c:v>313.87990000000002</c:v>
                </c:pt>
                <c:pt idx="1020">
                  <c:v>314.04000000000002</c:v>
                </c:pt>
                <c:pt idx="1021">
                  <c:v>314.27</c:v>
                </c:pt>
                <c:pt idx="1022">
                  <c:v>314.98</c:v>
                </c:pt>
                <c:pt idx="1023">
                  <c:v>318.27</c:v>
                </c:pt>
                <c:pt idx="1024">
                  <c:v>304.8</c:v>
                </c:pt>
                <c:pt idx="1025">
                  <c:v>310.2</c:v>
                </c:pt>
                <c:pt idx="1026">
                  <c:v>310.2</c:v>
                </c:pt>
                <c:pt idx="1027">
                  <c:v>302.6499</c:v>
                </c:pt>
                <c:pt idx="1028">
                  <c:v>303.33010000000002</c:v>
                </c:pt>
                <c:pt idx="1029">
                  <c:v>301.6001</c:v>
                </c:pt>
                <c:pt idx="1030">
                  <c:v>296.02999999999997</c:v>
                </c:pt>
                <c:pt idx="1031">
                  <c:v>296.37009999999998</c:v>
                </c:pt>
                <c:pt idx="1032">
                  <c:v>288.49</c:v>
                </c:pt>
                <c:pt idx="1033">
                  <c:v>296.70999999999998</c:v>
                </c:pt>
                <c:pt idx="1034">
                  <c:v>299.84010000000001</c:v>
                </c:pt>
                <c:pt idx="1035">
                  <c:v>308.26</c:v>
                </c:pt>
                <c:pt idx="1036">
                  <c:v>310.98</c:v>
                </c:pt>
                <c:pt idx="1037">
                  <c:v>308.76</c:v>
                </c:pt>
                <c:pt idx="1038">
                  <c:v>313.45999999999998</c:v>
                </c:pt>
                <c:pt idx="1039">
                  <c:v>301.25</c:v>
                </c:pt>
                <c:pt idx="1040">
                  <c:v>305.93990000000002</c:v>
                </c:pt>
                <c:pt idx="1041">
                  <c:v>300.95</c:v>
                </c:pt>
                <c:pt idx="1042">
                  <c:v>304.56009999999998</c:v>
                </c:pt>
                <c:pt idx="1043">
                  <c:v>311.20999999999998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8-DD4C-8A43-D8E2FC5F5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677951"/>
        <c:axId val="2038727103"/>
      </c:lineChart>
      <c:dateAx>
        <c:axId val="196056665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978428351"/>
        <c:crosses val="autoZero"/>
        <c:auto val="1"/>
        <c:lblOffset val="100"/>
        <c:baseTimeUnit val="days"/>
      </c:dateAx>
      <c:valAx>
        <c:axId val="19784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960566655"/>
        <c:crosses val="autoZero"/>
        <c:crossBetween val="between"/>
      </c:valAx>
      <c:valAx>
        <c:axId val="20387271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2038677951"/>
        <c:crosses val="max"/>
        <c:crossBetween val="between"/>
      </c:valAx>
      <c:dateAx>
        <c:axId val="2038677951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38727103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431800</xdr:colOff>
      <xdr:row>7</xdr:row>
      <xdr:rowOff>152400</xdr:rowOff>
    </xdr:from>
    <xdr:to>
      <xdr:col>19</xdr:col>
      <xdr:colOff>238760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81BB84-6104-AD97-E52E-4C4654153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24</xdr:row>
      <xdr:rowOff>16764</xdr:rowOff>
    </xdr:from>
    <xdr:to>
      <xdr:col>20</xdr:col>
      <xdr:colOff>439420</xdr:colOff>
      <xdr:row>42</xdr:row>
      <xdr:rowOff>54356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4E0407-5C3D-35A2-A464-EDBD2B0F0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showGridLines="0" zoomScale="125" zoomScaleNormal="125" workbookViewId="0">
      <selection activeCell="D6" sqref="D6"/>
    </sheetView>
  </sheetViews>
  <sheetFormatPr baseColWidth="10" defaultColWidth="8.83203125" defaultRowHeight="15" x14ac:dyDescent="0.2"/>
  <cols>
    <col min="1" max="1" width="8.5" style="43" customWidth="1"/>
    <col min="2" max="2" width="27.5" style="43" customWidth="1"/>
    <col min="3" max="7" width="15.6640625" style="43" bestFit="1" customWidth="1"/>
  </cols>
  <sheetData>
    <row r="1" spans="1:7" x14ac:dyDescent="0.2">
      <c r="A1" s="45" t="s">
        <v>0</v>
      </c>
    </row>
    <row r="3" spans="1:7" x14ac:dyDescent="0.2">
      <c r="A3" s="46" t="s">
        <v>1</v>
      </c>
    </row>
    <row r="4" spans="1:7" ht="16" thickBot="1" x14ac:dyDescent="0.25">
      <c r="A4" s="46" t="s">
        <v>2</v>
      </c>
    </row>
    <row r="5" spans="1:7" ht="16" thickBot="1" x14ac:dyDescent="0.25">
      <c r="A5" s="47"/>
      <c r="B5" s="48"/>
      <c r="C5" s="49">
        <v>2021</v>
      </c>
      <c r="D5" s="49">
        <v>2020</v>
      </c>
      <c r="E5" s="49">
        <v>2019</v>
      </c>
      <c r="F5" s="49">
        <v>2018</v>
      </c>
      <c r="G5" s="49">
        <v>2017</v>
      </c>
    </row>
    <row r="6" spans="1:7" ht="14.25" customHeight="1" thickBot="1" x14ac:dyDescent="0.25">
      <c r="A6" s="50" t="s">
        <v>3</v>
      </c>
      <c r="B6" s="51"/>
      <c r="C6" s="52" t="s">
        <v>4</v>
      </c>
      <c r="D6" s="53" t="s">
        <v>5</v>
      </c>
      <c r="E6" s="52" t="s">
        <v>6</v>
      </c>
      <c r="F6" s="53" t="s">
        <v>7</v>
      </c>
      <c r="G6" s="52" t="s">
        <v>8</v>
      </c>
    </row>
    <row r="7" spans="1:7" ht="16" thickBot="1" x14ac:dyDescent="0.25">
      <c r="A7" s="54" t="s">
        <v>9</v>
      </c>
      <c r="B7" s="55"/>
      <c r="C7" s="56" t="s">
        <v>10</v>
      </c>
      <c r="D7" s="56" t="s">
        <v>11</v>
      </c>
      <c r="E7" s="56" t="s">
        <v>12</v>
      </c>
      <c r="F7" s="56" t="s">
        <v>13</v>
      </c>
      <c r="G7" s="56" t="s">
        <v>14</v>
      </c>
    </row>
    <row r="8" spans="1:7" ht="16" thickBot="1" x14ac:dyDescent="0.25">
      <c r="A8" s="57" t="s">
        <v>15</v>
      </c>
      <c r="B8" s="58"/>
      <c r="C8" s="56" t="s">
        <v>16</v>
      </c>
      <c r="D8" s="56" t="s">
        <v>17</v>
      </c>
      <c r="E8" s="56" t="s">
        <v>18</v>
      </c>
      <c r="F8" s="56" t="s">
        <v>19</v>
      </c>
      <c r="G8" s="56" t="s">
        <v>19</v>
      </c>
    </row>
    <row r="9" spans="1:7" ht="16" thickBot="1" x14ac:dyDescent="0.25">
      <c r="A9" s="59" t="s">
        <v>20</v>
      </c>
      <c r="B9" s="60"/>
      <c r="C9" s="61">
        <v>168088</v>
      </c>
      <c r="D9" s="61">
        <v>143015</v>
      </c>
      <c r="E9" s="61">
        <v>125843</v>
      </c>
      <c r="F9" s="61">
        <v>110360</v>
      </c>
      <c r="G9" s="61">
        <v>96571</v>
      </c>
    </row>
    <row r="10" spans="1:7" ht="16" thickBot="1" x14ac:dyDescent="0.25">
      <c r="A10" s="62" t="s">
        <v>21</v>
      </c>
      <c r="B10" s="63"/>
      <c r="C10" s="64">
        <v>168088</v>
      </c>
      <c r="D10" s="64">
        <v>143015</v>
      </c>
      <c r="E10" s="64">
        <v>125843</v>
      </c>
      <c r="F10" s="64">
        <v>110360</v>
      </c>
      <c r="G10" s="64">
        <v>96571</v>
      </c>
    </row>
    <row r="11" spans="1:7" ht="16" thickBot="1" x14ac:dyDescent="0.25">
      <c r="A11" s="65" t="s">
        <v>22</v>
      </c>
      <c r="B11" s="66"/>
      <c r="C11" s="67" t="s">
        <v>23</v>
      </c>
      <c r="D11" s="67" t="s">
        <v>23</v>
      </c>
      <c r="E11" s="67" t="s">
        <v>23</v>
      </c>
      <c r="F11" s="67" t="s">
        <v>23</v>
      </c>
      <c r="G11" s="67" t="s">
        <v>23</v>
      </c>
    </row>
    <row r="12" spans="1:7" ht="16" thickBot="1" x14ac:dyDescent="0.25">
      <c r="A12" s="65" t="s">
        <v>24</v>
      </c>
      <c r="B12" s="66"/>
      <c r="C12" s="67">
        <v>168088</v>
      </c>
      <c r="D12" s="67">
        <v>143015</v>
      </c>
      <c r="E12" s="67">
        <v>125843</v>
      </c>
      <c r="F12" s="67">
        <v>110360</v>
      </c>
      <c r="G12" s="67">
        <v>96571</v>
      </c>
    </row>
    <row r="13" spans="1:7" ht="16" thickBot="1" x14ac:dyDescent="0.25">
      <c r="A13" s="59" t="s">
        <v>25</v>
      </c>
      <c r="B13" s="60"/>
      <c r="C13" s="61">
        <v>52232</v>
      </c>
      <c r="D13" s="61">
        <v>46078</v>
      </c>
      <c r="E13" s="61">
        <v>42910</v>
      </c>
      <c r="F13" s="61">
        <v>38353</v>
      </c>
      <c r="G13" s="61">
        <v>34261</v>
      </c>
    </row>
    <row r="14" spans="1:7" ht="16" thickBot="1" x14ac:dyDescent="0.25">
      <c r="A14" s="62" t="s">
        <v>26</v>
      </c>
      <c r="B14" s="63"/>
      <c r="C14" s="64">
        <v>52232</v>
      </c>
      <c r="D14" s="64">
        <v>46078</v>
      </c>
      <c r="E14" s="64">
        <v>42910</v>
      </c>
      <c r="F14" s="64">
        <v>38353</v>
      </c>
      <c r="G14" s="64">
        <v>34261</v>
      </c>
    </row>
    <row r="15" spans="1:7" ht="16" thickBot="1" x14ac:dyDescent="0.25">
      <c r="A15" s="65" t="s">
        <v>27</v>
      </c>
      <c r="B15" s="66"/>
      <c r="C15" s="67">
        <v>115856</v>
      </c>
      <c r="D15" s="67">
        <v>96937</v>
      </c>
      <c r="E15" s="67">
        <v>82933</v>
      </c>
      <c r="F15" s="67">
        <v>72007</v>
      </c>
      <c r="G15" s="67">
        <v>62310</v>
      </c>
    </row>
    <row r="16" spans="1:7" ht="16" thickBot="1" x14ac:dyDescent="0.25">
      <c r="A16" s="68"/>
      <c r="B16" s="68"/>
      <c r="C16" s="69"/>
      <c r="D16" s="69"/>
      <c r="E16" s="69"/>
      <c r="F16" s="69"/>
      <c r="G16" s="69"/>
    </row>
    <row r="17" spans="1:7" ht="16" thickBot="1" x14ac:dyDescent="0.25">
      <c r="A17" s="59" t="s">
        <v>28</v>
      </c>
      <c r="B17" s="60"/>
      <c r="C17" s="61">
        <v>25224</v>
      </c>
      <c r="D17" s="61">
        <v>24709</v>
      </c>
      <c r="E17" s="61">
        <v>23098</v>
      </c>
      <c r="F17" s="61">
        <v>22223</v>
      </c>
      <c r="G17" s="61">
        <v>18648</v>
      </c>
    </row>
    <row r="18" spans="1:7" ht="16" thickBot="1" x14ac:dyDescent="0.25">
      <c r="A18" s="62" t="s">
        <v>29</v>
      </c>
      <c r="B18" s="63"/>
      <c r="C18" s="64">
        <v>23724</v>
      </c>
      <c r="D18" s="64">
        <v>23109</v>
      </c>
      <c r="E18" s="64">
        <v>21498</v>
      </c>
      <c r="F18" s="64">
        <v>20623</v>
      </c>
      <c r="G18" s="64">
        <v>17348</v>
      </c>
    </row>
    <row r="19" spans="1:7" ht="16" thickBot="1" x14ac:dyDescent="0.25">
      <c r="A19" s="62" t="s">
        <v>30</v>
      </c>
      <c r="B19" s="63"/>
      <c r="C19" s="64">
        <v>1500</v>
      </c>
      <c r="D19" s="64">
        <v>1600</v>
      </c>
      <c r="E19" s="64">
        <v>1600</v>
      </c>
      <c r="F19" s="64">
        <v>1600</v>
      </c>
      <c r="G19" s="64">
        <v>1300</v>
      </c>
    </row>
    <row r="20" spans="1:7" ht="16" thickBot="1" x14ac:dyDescent="0.25">
      <c r="A20" s="65" t="s">
        <v>31</v>
      </c>
      <c r="B20" s="66"/>
      <c r="C20" s="67">
        <v>20716</v>
      </c>
      <c r="D20" s="67">
        <v>19269</v>
      </c>
      <c r="E20" s="67">
        <v>16876</v>
      </c>
      <c r="F20" s="67">
        <v>14726</v>
      </c>
      <c r="G20" s="67">
        <v>12292</v>
      </c>
    </row>
    <row r="21" spans="1:7" ht="16" thickBot="1" x14ac:dyDescent="0.25">
      <c r="A21" s="65" t="s">
        <v>32</v>
      </c>
      <c r="B21" s="66"/>
      <c r="C21" s="67" t="s">
        <v>23</v>
      </c>
      <c r="D21" s="67" t="s">
        <v>23</v>
      </c>
      <c r="E21" s="67" t="s">
        <v>23</v>
      </c>
      <c r="F21" s="67" t="s">
        <v>23</v>
      </c>
      <c r="G21" s="67" t="s">
        <v>23</v>
      </c>
    </row>
    <row r="22" spans="1:7" ht="16" thickBot="1" x14ac:dyDescent="0.25">
      <c r="A22" s="65" t="s">
        <v>33</v>
      </c>
      <c r="B22" s="66"/>
      <c r="C22" s="67" t="s">
        <v>23</v>
      </c>
      <c r="D22" s="67" t="s">
        <v>23</v>
      </c>
      <c r="E22" s="67" t="s">
        <v>23</v>
      </c>
      <c r="F22" s="67" t="s">
        <v>23</v>
      </c>
      <c r="G22" s="67" t="s">
        <v>23</v>
      </c>
    </row>
    <row r="23" spans="1:7" ht="16" thickBot="1" x14ac:dyDescent="0.25">
      <c r="A23" s="65" t="s">
        <v>34</v>
      </c>
      <c r="B23" s="66"/>
      <c r="C23" s="67" t="s">
        <v>23</v>
      </c>
      <c r="D23" s="67" t="s">
        <v>23</v>
      </c>
      <c r="E23" s="67" t="s">
        <v>23</v>
      </c>
      <c r="F23" s="67" t="s">
        <v>23</v>
      </c>
      <c r="G23" s="67" t="s">
        <v>23</v>
      </c>
    </row>
    <row r="24" spans="1:7" ht="16" thickBot="1" x14ac:dyDescent="0.25">
      <c r="A24" s="65" t="s">
        <v>35</v>
      </c>
      <c r="B24" s="66"/>
      <c r="C24" s="67" t="s">
        <v>23</v>
      </c>
      <c r="D24" s="67" t="s">
        <v>23</v>
      </c>
      <c r="E24" s="67" t="s">
        <v>23</v>
      </c>
      <c r="F24" s="67" t="s">
        <v>23</v>
      </c>
      <c r="G24" s="67" t="s">
        <v>23</v>
      </c>
    </row>
    <row r="25" spans="1:7" ht="16" thickBot="1" x14ac:dyDescent="0.25">
      <c r="A25" s="65" t="s">
        <v>36</v>
      </c>
      <c r="B25" s="66"/>
      <c r="C25" s="67" t="s">
        <v>23</v>
      </c>
      <c r="D25" s="67" t="s">
        <v>23</v>
      </c>
      <c r="E25" s="67" t="s">
        <v>23</v>
      </c>
      <c r="F25" s="67" t="s">
        <v>23</v>
      </c>
      <c r="G25" s="67" t="s">
        <v>23</v>
      </c>
    </row>
    <row r="26" spans="1:7" ht="16" thickBot="1" x14ac:dyDescent="0.25">
      <c r="A26" s="59" t="s">
        <v>37</v>
      </c>
      <c r="B26" s="60"/>
      <c r="C26" s="61">
        <v>13</v>
      </c>
      <c r="D26" s="61">
        <v>133</v>
      </c>
      <c r="E26" s="61">
        <v>26</v>
      </c>
      <c r="F26" s="61">
        <v>47</v>
      </c>
      <c r="G26" s="61">
        <v>2400</v>
      </c>
    </row>
    <row r="27" spans="1:7" ht="16" thickBot="1" x14ac:dyDescent="0.25">
      <c r="A27" s="62" t="s">
        <v>38</v>
      </c>
      <c r="B27" s="63"/>
      <c r="C27" s="64" t="s">
        <v>23</v>
      </c>
      <c r="D27" s="64" t="s">
        <v>23</v>
      </c>
      <c r="E27" s="64">
        <v>0</v>
      </c>
      <c r="F27" s="64">
        <v>0</v>
      </c>
      <c r="G27" s="64">
        <v>306</v>
      </c>
    </row>
    <row r="28" spans="1:7" ht="16" thickBot="1" x14ac:dyDescent="0.25">
      <c r="A28" s="62" t="s">
        <v>39</v>
      </c>
      <c r="B28" s="63"/>
      <c r="C28" s="64">
        <v>13</v>
      </c>
      <c r="D28" s="64">
        <v>133</v>
      </c>
      <c r="E28" s="64">
        <v>26</v>
      </c>
      <c r="F28" s="64">
        <v>47</v>
      </c>
      <c r="G28" s="64">
        <v>55</v>
      </c>
    </row>
    <row r="29" spans="1:7" ht="16" thickBot="1" x14ac:dyDescent="0.25">
      <c r="A29" s="62" t="s">
        <v>40</v>
      </c>
      <c r="B29" s="63"/>
      <c r="C29" s="64" t="s">
        <v>23</v>
      </c>
      <c r="D29" s="64" t="s">
        <v>23</v>
      </c>
      <c r="E29" s="64" t="s">
        <v>23</v>
      </c>
      <c r="F29" s="64" t="s">
        <v>23</v>
      </c>
      <c r="G29" s="64">
        <v>2039</v>
      </c>
    </row>
    <row r="30" spans="1:7" ht="16" thickBot="1" x14ac:dyDescent="0.25">
      <c r="A30" s="65" t="s">
        <v>41</v>
      </c>
      <c r="B30" s="66"/>
      <c r="C30" s="67" t="s">
        <v>23</v>
      </c>
      <c r="D30" s="67" t="s">
        <v>23</v>
      </c>
      <c r="E30" s="67" t="s">
        <v>23</v>
      </c>
      <c r="F30" s="67" t="s">
        <v>23</v>
      </c>
      <c r="G30" s="67" t="s">
        <v>23</v>
      </c>
    </row>
    <row r="31" spans="1:7" ht="16" thickBot="1" x14ac:dyDescent="0.25">
      <c r="A31" s="65" t="s">
        <v>42</v>
      </c>
      <c r="B31" s="66"/>
      <c r="C31" s="67">
        <v>98185</v>
      </c>
      <c r="D31" s="67">
        <v>90189</v>
      </c>
      <c r="E31" s="67">
        <v>82910</v>
      </c>
      <c r="F31" s="67">
        <v>75349</v>
      </c>
      <c r="G31" s="67">
        <v>67601</v>
      </c>
    </row>
    <row r="32" spans="1:7" ht="16" thickBot="1" x14ac:dyDescent="0.25">
      <c r="A32" s="65" t="s">
        <v>43</v>
      </c>
      <c r="B32" s="66"/>
      <c r="C32" s="67">
        <v>69903</v>
      </c>
      <c r="D32" s="67">
        <v>52826</v>
      </c>
      <c r="E32" s="67">
        <v>42933</v>
      </c>
      <c r="F32" s="67">
        <v>35011</v>
      </c>
      <c r="G32" s="67">
        <v>28970</v>
      </c>
    </row>
    <row r="33" spans="1:7" ht="16" thickBot="1" x14ac:dyDescent="0.25">
      <c r="A33" s="59" t="s">
        <v>44</v>
      </c>
      <c r="B33" s="60"/>
      <c r="C33" s="61">
        <v>-2346</v>
      </c>
      <c r="D33" s="61">
        <v>-2591</v>
      </c>
      <c r="E33" s="61">
        <v>-2686</v>
      </c>
      <c r="F33" s="61">
        <v>-2733</v>
      </c>
      <c r="G33" s="61">
        <v>-2222</v>
      </c>
    </row>
    <row r="34" spans="1:7" ht="16" thickBot="1" x14ac:dyDescent="0.25">
      <c r="A34" s="62" t="s">
        <v>45</v>
      </c>
      <c r="B34" s="63"/>
      <c r="C34" s="64">
        <v>-2346</v>
      </c>
      <c r="D34" s="64">
        <v>-2591</v>
      </c>
      <c r="E34" s="64">
        <v>-2686</v>
      </c>
      <c r="F34" s="64">
        <v>-2733</v>
      </c>
      <c r="G34" s="64">
        <v>-2222</v>
      </c>
    </row>
    <row r="35" spans="1:7" ht="16" thickBot="1" x14ac:dyDescent="0.25">
      <c r="A35" s="59" t="s">
        <v>46</v>
      </c>
      <c r="B35" s="60"/>
      <c r="C35" s="61">
        <v>3447</v>
      </c>
      <c r="D35" s="61">
        <v>2841</v>
      </c>
      <c r="E35" s="61">
        <v>3498</v>
      </c>
      <c r="F35" s="61">
        <v>4255</v>
      </c>
      <c r="G35" s="61">
        <v>3404</v>
      </c>
    </row>
    <row r="36" spans="1:7" ht="16" thickBot="1" x14ac:dyDescent="0.25">
      <c r="A36" s="62" t="s">
        <v>47</v>
      </c>
      <c r="B36" s="63"/>
      <c r="C36" s="64">
        <v>3447</v>
      </c>
      <c r="D36" s="64">
        <v>2841</v>
      </c>
      <c r="E36" s="64">
        <v>3498</v>
      </c>
      <c r="F36" s="64">
        <v>4255</v>
      </c>
      <c r="G36" s="64">
        <v>3404</v>
      </c>
    </row>
    <row r="37" spans="1:7" ht="16" thickBot="1" x14ac:dyDescent="0.25">
      <c r="A37" s="65" t="s">
        <v>48</v>
      </c>
      <c r="B37" s="66"/>
      <c r="C37" s="67" t="s">
        <v>23</v>
      </c>
      <c r="D37" s="67" t="s">
        <v>23</v>
      </c>
      <c r="E37" s="67" t="s">
        <v>23</v>
      </c>
      <c r="F37" s="67" t="s">
        <v>23</v>
      </c>
      <c r="G37" s="67" t="s">
        <v>23</v>
      </c>
    </row>
    <row r="38" spans="1:7" ht="16" thickBot="1" x14ac:dyDescent="0.25">
      <c r="A38" s="65" t="s">
        <v>49</v>
      </c>
      <c r="B38" s="66"/>
      <c r="C38" s="67">
        <v>1101</v>
      </c>
      <c r="D38" s="67">
        <v>250</v>
      </c>
      <c r="E38" s="67">
        <v>812</v>
      </c>
      <c r="F38" s="67">
        <v>1522</v>
      </c>
      <c r="G38" s="67">
        <v>1182</v>
      </c>
    </row>
    <row r="39" spans="1:7" ht="16" thickBot="1" x14ac:dyDescent="0.25">
      <c r="A39" s="65" t="s">
        <v>50</v>
      </c>
      <c r="B39" s="66"/>
      <c r="C39" s="67" t="s">
        <v>23</v>
      </c>
      <c r="D39" s="67" t="s">
        <v>23</v>
      </c>
      <c r="E39" s="67" t="s">
        <v>23</v>
      </c>
      <c r="F39" s="67" t="s">
        <v>23</v>
      </c>
      <c r="G39" s="67" t="s">
        <v>23</v>
      </c>
    </row>
    <row r="40" spans="1:7" ht="16" thickBot="1" x14ac:dyDescent="0.25">
      <c r="A40" s="59" t="s">
        <v>51</v>
      </c>
      <c r="B40" s="60"/>
      <c r="C40" s="61">
        <v>98</v>
      </c>
      <c r="D40" s="61">
        <v>-40</v>
      </c>
      <c r="E40" s="61">
        <v>-57</v>
      </c>
      <c r="F40" s="61">
        <v>-59</v>
      </c>
      <c r="G40" s="61">
        <v>-251</v>
      </c>
    </row>
    <row r="41" spans="1:7" ht="16" thickBot="1" x14ac:dyDescent="0.25">
      <c r="A41" s="62" t="s">
        <v>52</v>
      </c>
      <c r="B41" s="63"/>
      <c r="C41" s="64">
        <v>98</v>
      </c>
      <c r="D41" s="64">
        <v>-40</v>
      </c>
      <c r="E41" s="64">
        <v>-57</v>
      </c>
      <c r="F41" s="64">
        <v>-59</v>
      </c>
      <c r="G41" s="64">
        <v>-251</v>
      </c>
    </row>
    <row r="42" spans="1:7" ht="16" thickBot="1" x14ac:dyDescent="0.25">
      <c r="A42" s="65" t="s">
        <v>53</v>
      </c>
      <c r="B42" s="66"/>
      <c r="C42" s="67">
        <v>71102</v>
      </c>
      <c r="D42" s="67">
        <v>53036</v>
      </c>
      <c r="E42" s="67">
        <v>43688</v>
      </c>
      <c r="F42" s="67">
        <v>36474</v>
      </c>
      <c r="G42" s="67">
        <v>29901</v>
      </c>
    </row>
    <row r="43" spans="1:7" ht="16" thickBot="1" x14ac:dyDescent="0.25">
      <c r="A43" s="65" t="s">
        <v>54</v>
      </c>
      <c r="B43" s="66"/>
      <c r="C43" s="67">
        <v>9831</v>
      </c>
      <c r="D43" s="67">
        <v>8755</v>
      </c>
      <c r="E43" s="67">
        <v>4291</v>
      </c>
      <c r="F43" s="67">
        <v>6203</v>
      </c>
      <c r="G43" s="67">
        <v>4412</v>
      </c>
    </row>
    <row r="44" spans="1:7" ht="16" thickBot="1" x14ac:dyDescent="0.25">
      <c r="A44" s="65" t="s">
        <v>55</v>
      </c>
      <c r="B44" s="66"/>
      <c r="C44" s="67">
        <v>61271</v>
      </c>
      <c r="D44" s="67">
        <v>44281</v>
      </c>
      <c r="E44" s="67">
        <v>39397</v>
      </c>
      <c r="F44" s="67">
        <v>30271</v>
      </c>
      <c r="G44" s="67">
        <v>25489</v>
      </c>
    </row>
    <row r="45" spans="1:7" ht="16" thickBot="1" x14ac:dyDescent="0.25">
      <c r="A45" s="65" t="s">
        <v>56</v>
      </c>
      <c r="B45" s="66"/>
      <c r="C45" s="67" t="s">
        <v>23</v>
      </c>
      <c r="D45" s="67" t="s">
        <v>23</v>
      </c>
      <c r="E45" s="67" t="s">
        <v>23</v>
      </c>
      <c r="F45" s="67" t="s">
        <v>23</v>
      </c>
      <c r="G45" s="67" t="s">
        <v>23</v>
      </c>
    </row>
    <row r="46" spans="1:7" ht="16" thickBot="1" x14ac:dyDescent="0.25">
      <c r="A46" s="65" t="s">
        <v>57</v>
      </c>
      <c r="B46" s="66"/>
      <c r="C46" s="67" t="s">
        <v>23</v>
      </c>
      <c r="D46" s="67" t="s">
        <v>23</v>
      </c>
      <c r="E46" s="67" t="s">
        <v>23</v>
      </c>
      <c r="F46" s="67" t="s">
        <v>23</v>
      </c>
      <c r="G46" s="67" t="s">
        <v>23</v>
      </c>
    </row>
    <row r="47" spans="1:7" ht="16" thickBot="1" x14ac:dyDescent="0.25">
      <c r="A47" s="65" t="s">
        <v>58</v>
      </c>
      <c r="B47" s="66"/>
      <c r="C47" s="67" t="s">
        <v>23</v>
      </c>
      <c r="D47" s="67" t="s">
        <v>23</v>
      </c>
      <c r="E47" s="67" t="s">
        <v>23</v>
      </c>
      <c r="F47" s="67" t="s">
        <v>23</v>
      </c>
      <c r="G47" s="67" t="s">
        <v>23</v>
      </c>
    </row>
    <row r="48" spans="1:7" ht="16" thickBot="1" x14ac:dyDescent="0.25">
      <c r="A48" s="65" t="s">
        <v>59</v>
      </c>
      <c r="B48" s="66"/>
      <c r="C48" s="67">
        <v>61271</v>
      </c>
      <c r="D48" s="67">
        <v>44281</v>
      </c>
      <c r="E48" s="67">
        <v>39397</v>
      </c>
      <c r="F48" s="67">
        <v>30271</v>
      </c>
      <c r="G48" s="67">
        <v>25489</v>
      </c>
    </row>
    <row r="49" spans="1:7" ht="16" thickBot="1" x14ac:dyDescent="0.25">
      <c r="A49" s="68"/>
      <c r="B49" s="68"/>
      <c r="C49" s="69"/>
      <c r="D49" s="69"/>
      <c r="E49" s="69"/>
      <c r="F49" s="69"/>
      <c r="G49" s="69"/>
    </row>
    <row r="50" spans="1:7" ht="16" thickBot="1" x14ac:dyDescent="0.25">
      <c r="A50" s="65" t="s">
        <v>60</v>
      </c>
      <c r="B50" s="66"/>
      <c r="C50" s="67" t="s">
        <v>23</v>
      </c>
      <c r="D50" s="67" t="s">
        <v>23</v>
      </c>
      <c r="E50" s="67" t="s">
        <v>23</v>
      </c>
      <c r="F50" s="67" t="s">
        <v>23</v>
      </c>
      <c r="G50" s="67" t="s">
        <v>23</v>
      </c>
    </row>
    <row r="51" spans="1:7" ht="16" thickBot="1" x14ac:dyDescent="0.25">
      <c r="A51" s="65" t="s">
        <v>61</v>
      </c>
      <c r="B51" s="66"/>
      <c r="C51" s="67" t="s">
        <v>23</v>
      </c>
      <c r="D51" s="67" t="s">
        <v>23</v>
      </c>
      <c r="E51" s="67" t="s">
        <v>23</v>
      </c>
      <c r="F51" s="67" t="s">
        <v>23</v>
      </c>
      <c r="G51" s="67" t="s">
        <v>23</v>
      </c>
    </row>
    <row r="52" spans="1:7" ht="16" thickBot="1" x14ac:dyDescent="0.25">
      <c r="A52" s="65" t="s">
        <v>62</v>
      </c>
      <c r="B52" s="66"/>
      <c r="C52" s="67" t="s">
        <v>23</v>
      </c>
      <c r="D52" s="67">
        <v>0</v>
      </c>
      <c r="E52" s="67">
        <v>-157</v>
      </c>
      <c r="F52" s="67">
        <v>-13700</v>
      </c>
      <c r="G52" s="67" t="s">
        <v>23</v>
      </c>
    </row>
    <row r="53" spans="1:7" ht="16" thickBot="1" x14ac:dyDescent="0.25">
      <c r="A53" s="65" t="s">
        <v>63</v>
      </c>
      <c r="B53" s="66"/>
      <c r="C53" s="67" t="s">
        <v>23</v>
      </c>
      <c r="D53" s="67" t="s">
        <v>23</v>
      </c>
      <c r="E53" s="67" t="s">
        <v>23</v>
      </c>
      <c r="F53" s="67" t="s">
        <v>23</v>
      </c>
      <c r="G53" s="67" t="s">
        <v>23</v>
      </c>
    </row>
    <row r="54" spans="1:7" ht="16" thickBot="1" x14ac:dyDescent="0.25">
      <c r="A54" s="65" t="s">
        <v>64</v>
      </c>
      <c r="B54" s="66"/>
      <c r="C54" s="67" t="s">
        <v>23</v>
      </c>
      <c r="D54" s="67">
        <v>0</v>
      </c>
      <c r="E54" s="67">
        <v>-157</v>
      </c>
      <c r="F54" s="67">
        <v>-13700</v>
      </c>
      <c r="G54" s="67" t="s">
        <v>23</v>
      </c>
    </row>
    <row r="55" spans="1:7" ht="16" thickBot="1" x14ac:dyDescent="0.25">
      <c r="A55" s="65" t="s">
        <v>65</v>
      </c>
      <c r="B55" s="66"/>
      <c r="C55" s="67">
        <v>61271</v>
      </c>
      <c r="D55" s="67">
        <v>44281</v>
      </c>
      <c r="E55" s="67">
        <v>39240</v>
      </c>
      <c r="F55" s="67">
        <v>16571</v>
      </c>
      <c r="G55" s="67">
        <v>25489</v>
      </c>
    </row>
    <row r="56" spans="1:7" ht="16" thickBot="1" x14ac:dyDescent="0.25">
      <c r="A56" s="68"/>
      <c r="B56" s="68"/>
      <c r="C56" s="69"/>
      <c r="D56" s="69"/>
      <c r="E56" s="69"/>
      <c r="F56" s="69"/>
      <c r="G56" s="69"/>
    </row>
    <row r="57" spans="1:7" ht="16" thickBot="1" x14ac:dyDescent="0.25">
      <c r="A57" s="65" t="s">
        <v>66</v>
      </c>
      <c r="B57" s="66"/>
      <c r="C57" s="67" t="s">
        <v>23</v>
      </c>
      <c r="D57" s="67" t="s">
        <v>23</v>
      </c>
      <c r="E57" s="67" t="s">
        <v>23</v>
      </c>
      <c r="F57" s="67" t="s">
        <v>23</v>
      </c>
      <c r="G57" s="67" t="s">
        <v>23</v>
      </c>
    </row>
    <row r="58" spans="1:7" ht="16" thickBot="1" x14ac:dyDescent="0.25">
      <c r="A58" s="65" t="s">
        <v>67</v>
      </c>
      <c r="B58" s="66"/>
      <c r="C58" s="67" t="s">
        <v>23</v>
      </c>
      <c r="D58" s="67" t="s">
        <v>23</v>
      </c>
      <c r="E58" s="67" t="s">
        <v>23</v>
      </c>
      <c r="F58" s="67" t="s">
        <v>23</v>
      </c>
      <c r="G58" s="67" t="s">
        <v>23</v>
      </c>
    </row>
    <row r="59" spans="1:7" ht="16" thickBot="1" x14ac:dyDescent="0.25">
      <c r="A59" s="65" t="s">
        <v>68</v>
      </c>
      <c r="B59" s="66"/>
      <c r="C59" s="67" t="s">
        <v>23</v>
      </c>
      <c r="D59" s="67" t="s">
        <v>23</v>
      </c>
      <c r="E59" s="67" t="s">
        <v>23</v>
      </c>
      <c r="F59" s="67" t="s">
        <v>23</v>
      </c>
      <c r="G59" s="67" t="s">
        <v>23</v>
      </c>
    </row>
    <row r="60" spans="1:7" ht="16" thickBot="1" x14ac:dyDescent="0.25">
      <c r="A60" s="65" t="s">
        <v>69</v>
      </c>
      <c r="B60" s="66"/>
      <c r="C60" s="67" t="s">
        <v>23</v>
      </c>
      <c r="D60" s="67" t="s">
        <v>23</v>
      </c>
      <c r="E60" s="67" t="s">
        <v>23</v>
      </c>
      <c r="F60" s="67" t="s">
        <v>23</v>
      </c>
      <c r="G60" s="67" t="s">
        <v>23</v>
      </c>
    </row>
    <row r="61" spans="1:7" ht="16" thickBot="1" x14ac:dyDescent="0.25">
      <c r="A61" s="65" t="s">
        <v>70</v>
      </c>
      <c r="B61" s="66"/>
      <c r="C61" s="67" t="s">
        <v>23</v>
      </c>
      <c r="D61" s="67" t="s">
        <v>23</v>
      </c>
      <c r="E61" s="67" t="s">
        <v>23</v>
      </c>
      <c r="F61" s="67" t="s">
        <v>23</v>
      </c>
      <c r="G61" s="67" t="s">
        <v>23</v>
      </c>
    </row>
    <row r="62" spans="1:7" ht="16" thickBot="1" x14ac:dyDescent="0.25">
      <c r="A62" s="65" t="s">
        <v>71</v>
      </c>
      <c r="B62" s="66"/>
      <c r="C62" s="67" t="s">
        <v>23</v>
      </c>
      <c r="D62" s="67" t="s">
        <v>23</v>
      </c>
      <c r="E62" s="67" t="s">
        <v>23</v>
      </c>
      <c r="F62" s="67" t="s">
        <v>23</v>
      </c>
      <c r="G62" s="67" t="s">
        <v>23</v>
      </c>
    </row>
    <row r="63" spans="1:7" ht="16" thickBot="1" x14ac:dyDescent="0.25">
      <c r="A63" s="65" t="s">
        <v>72</v>
      </c>
      <c r="B63" s="66"/>
      <c r="C63" s="67">
        <v>61271</v>
      </c>
      <c r="D63" s="67">
        <v>44281</v>
      </c>
      <c r="E63" s="67">
        <v>39397</v>
      </c>
      <c r="F63" s="67">
        <v>30271</v>
      </c>
      <c r="G63" s="67">
        <v>25489</v>
      </c>
    </row>
    <row r="64" spans="1:7" ht="16" thickBot="1" x14ac:dyDescent="0.25">
      <c r="A64" s="65" t="s">
        <v>73</v>
      </c>
      <c r="B64" s="66"/>
      <c r="C64" s="67">
        <v>61271</v>
      </c>
      <c r="D64" s="67">
        <v>44281</v>
      </c>
      <c r="E64" s="67">
        <v>39240</v>
      </c>
      <c r="F64" s="67">
        <v>16571</v>
      </c>
      <c r="G64" s="67">
        <v>25489</v>
      </c>
    </row>
    <row r="65" spans="1:7" ht="16" thickBot="1" x14ac:dyDescent="0.25">
      <c r="A65" s="65" t="s">
        <v>74</v>
      </c>
      <c r="B65" s="66"/>
      <c r="C65" s="67">
        <v>7547</v>
      </c>
      <c r="D65" s="67">
        <v>7610</v>
      </c>
      <c r="E65" s="67">
        <v>7673</v>
      </c>
      <c r="F65" s="67">
        <v>7700</v>
      </c>
      <c r="G65" s="67">
        <v>7746</v>
      </c>
    </row>
    <row r="66" spans="1:7" ht="16" thickBot="1" x14ac:dyDescent="0.25">
      <c r="A66" s="65" t="s">
        <v>75</v>
      </c>
      <c r="B66" s="66"/>
      <c r="C66" s="70">
        <v>8.1199999999999992</v>
      </c>
      <c r="D66" s="70">
        <v>5.82</v>
      </c>
      <c r="E66" s="70">
        <v>5.13</v>
      </c>
      <c r="F66" s="70">
        <v>3.93</v>
      </c>
      <c r="G66" s="70">
        <v>3.29</v>
      </c>
    </row>
    <row r="67" spans="1:7" ht="16" thickBot="1" x14ac:dyDescent="0.25">
      <c r="A67" s="65" t="s">
        <v>76</v>
      </c>
      <c r="B67" s="66"/>
      <c r="C67" s="70">
        <v>8.1199999999999992</v>
      </c>
      <c r="D67" s="70">
        <v>5.82</v>
      </c>
      <c r="E67" s="70">
        <v>5.1100000000000003</v>
      </c>
      <c r="F67" s="70">
        <v>2.15</v>
      </c>
      <c r="G67" s="70">
        <v>3.29</v>
      </c>
    </row>
    <row r="68" spans="1:7" ht="16" thickBot="1" x14ac:dyDescent="0.25">
      <c r="A68" s="65" t="s">
        <v>77</v>
      </c>
      <c r="B68" s="66"/>
      <c r="C68" s="67" t="s">
        <v>23</v>
      </c>
      <c r="D68" s="67" t="s">
        <v>23</v>
      </c>
      <c r="E68" s="67" t="s">
        <v>23</v>
      </c>
      <c r="F68" s="67" t="s">
        <v>23</v>
      </c>
      <c r="G68" s="67" t="s">
        <v>23</v>
      </c>
    </row>
    <row r="69" spans="1:7" ht="16" thickBot="1" x14ac:dyDescent="0.25">
      <c r="A69" s="65" t="s">
        <v>78</v>
      </c>
      <c r="B69" s="66"/>
      <c r="C69" s="67">
        <v>61271</v>
      </c>
      <c r="D69" s="67">
        <v>44281</v>
      </c>
      <c r="E69" s="67">
        <v>39240</v>
      </c>
      <c r="F69" s="67">
        <v>16571</v>
      </c>
      <c r="G69" s="67">
        <v>25489</v>
      </c>
    </row>
    <row r="70" spans="1:7" ht="16" thickBot="1" x14ac:dyDescent="0.25">
      <c r="A70" s="65" t="s">
        <v>79</v>
      </c>
      <c r="B70" s="66"/>
      <c r="C70" s="67">
        <v>7608</v>
      </c>
      <c r="D70" s="67">
        <v>7683</v>
      </c>
      <c r="E70" s="67">
        <v>7753</v>
      </c>
      <c r="F70" s="67">
        <v>7794</v>
      </c>
      <c r="G70" s="67">
        <v>7832</v>
      </c>
    </row>
    <row r="71" spans="1:7" ht="16" thickBot="1" x14ac:dyDescent="0.25">
      <c r="A71" s="65" t="s">
        <v>80</v>
      </c>
      <c r="B71" s="66"/>
      <c r="C71" s="70">
        <v>8.0500000000000007</v>
      </c>
      <c r="D71" s="70">
        <v>5.76</v>
      </c>
      <c r="E71" s="70">
        <v>5.08</v>
      </c>
      <c r="F71" s="70">
        <v>3.88</v>
      </c>
      <c r="G71" s="70">
        <v>3.25</v>
      </c>
    </row>
    <row r="72" spans="1:7" x14ac:dyDescent="0.2">
      <c r="A72" s="71" t="s">
        <v>81</v>
      </c>
      <c r="B72" s="72"/>
      <c r="C72" s="70">
        <v>8.0500000000000007</v>
      </c>
      <c r="D72" s="70">
        <v>5.76</v>
      </c>
      <c r="E72" s="70">
        <v>5.0599999999999996</v>
      </c>
      <c r="F72" s="70">
        <v>2.13</v>
      </c>
      <c r="G72" s="70">
        <v>3.25</v>
      </c>
    </row>
    <row r="73" spans="1:7" ht="12" customHeight="1" thickBot="1" x14ac:dyDescent="0.25">
      <c r="A73" s="73" t="s">
        <v>82</v>
      </c>
      <c r="B73" s="73"/>
      <c r="C73" s="74"/>
      <c r="D73" s="74"/>
      <c r="E73" s="74"/>
      <c r="F73" s="74"/>
      <c r="G73" s="74"/>
    </row>
    <row r="74" spans="1:7" ht="16" thickBot="1" x14ac:dyDescent="0.25">
      <c r="A74" s="65" t="s">
        <v>83</v>
      </c>
      <c r="B74" s="66"/>
      <c r="C74" s="70">
        <v>2.19</v>
      </c>
      <c r="D74" s="70">
        <v>1.99</v>
      </c>
      <c r="E74" s="70">
        <v>1.8</v>
      </c>
      <c r="F74" s="70">
        <v>1.65</v>
      </c>
      <c r="G74" s="70">
        <v>1.53</v>
      </c>
    </row>
    <row r="75" spans="1:7" ht="16" thickBot="1" x14ac:dyDescent="0.25">
      <c r="A75" s="65" t="s">
        <v>84</v>
      </c>
      <c r="B75" s="66"/>
      <c r="C75" s="70" t="s">
        <v>23</v>
      </c>
      <c r="D75" s="70" t="s">
        <v>23</v>
      </c>
      <c r="E75" s="70" t="s">
        <v>23</v>
      </c>
      <c r="F75" s="70" t="s">
        <v>23</v>
      </c>
      <c r="G75" s="70" t="s">
        <v>23</v>
      </c>
    </row>
    <row r="76" spans="1:7" ht="16" thickBot="1" x14ac:dyDescent="0.25">
      <c r="A76" s="65" t="s">
        <v>85</v>
      </c>
      <c r="B76" s="66"/>
      <c r="C76" s="70" t="s">
        <v>23</v>
      </c>
      <c r="D76" s="70" t="s">
        <v>23</v>
      </c>
      <c r="E76" s="70" t="s">
        <v>23</v>
      </c>
      <c r="F76" s="70" t="s">
        <v>23</v>
      </c>
      <c r="G76" s="70" t="s">
        <v>23</v>
      </c>
    </row>
    <row r="77" spans="1:7" ht="16" thickBot="1" x14ac:dyDescent="0.25">
      <c r="A77" s="65" t="s">
        <v>86</v>
      </c>
      <c r="B77" s="66"/>
      <c r="C77" s="70" t="s">
        <v>23</v>
      </c>
      <c r="D77" s="70" t="s">
        <v>23</v>
      </c>
      <c r="E77" s="70" t="s">
        <v>23</v>
      </c>
      <c r="F77" s="70" t="s">
        <v>23</v>
      </c>
      <c r="G77" s="70" t="s">
        <v>23</v>
      </c>
    </row>
    <row r="78" spans="1:7" ht="16" thickBot="1" x14ac:dyDescent="0.25">
      <c r="A78" s="65" t="s">
        <v>87</v>
      </c>
      <c r="B78" s="66"/>
      <c r="C78" s="70" t="s">
        <v>23</v>
      </c>
      <c r="D78" s="70" t="s">
        <v>23</v>
      </c>
      <c r="E78" s="70" t="s">
        <v>23</v>
      </c>
      <c r="F78" s="70" t="s">
        <v>23</v>
      </c>
      <c r="G78" s="70" t="s">
        <v>23</v>
      </c>
    </row>
    <row r="79" spans="1:7" ht="16" thickBot="1" x14ac:dyDescent="0.25">
      <c r="A79" s="65" t="s">
        <v>88</v>
      </c>
      <c r="B79" s="66"/>
      <c r="C79" s="70" t="s">
        <v>23</v>
      </c>
      <c r="D79" s="70" t="s">
        <v>23</v>
      </c>
      <c r="E79" s="70" t="s">
        <v>23</v>
      </c>
      <c r="F79" s="70" t="s">
        <v>23</v>
      </c>
      <c r="G79" s="70" t="s">
        <v>23</v>
      </c>
    </row>
    <row r="80" spans="1:7" ht="16" thickBot="1" x14ac:dyDescent="0.25">
      <c r="A80" s="65" t="s">
        <v>89</v>
      </c>
      <c r="B80" s="66"/>
      <c r="C80" s="70" t="s">
        <v>23</v>
      </c>
      <c r="D80" s="70" t="s">
        <v>23</v>
      </c>
      <c r="E80" s="70" t="s">
        <v>23</v>
      </c>
      <c r="F80" s="70" t="s">
        <v>23</v>
      </c>
      <c r="G80" s="70" t="s">
        <v>23</v>
      </c>
    </row>
    <row r="81" spans="1:7" ht="16" thickBot="1" x14ac:dyDescent="0.25">
      <c r="A81" s="65" t="s">
        <v>90</v>
      </c>
      <c r="B81" s="66"/>
      <c r="C81" s="70" t="s">
        <v>23</v>
      </c>
      <c r="D81" s="70" t="s">
        <v>23</v>
      </c>
      <c r="E81" s="70" t="s">
        <v>23</v>
      </c>
      <c r="F81" s="70" t="s">
        <v>23</v>
      </c>
      <c r="G81" s="70" t="s">
        <v>23</v>
      </c>
    </row>
    <row r="82" spans="1:7" ht="16" thickBot="1" x14ac:dyDescent="0.25">
      <c r="A82" s="65" t="s">
        <v>91</v>
      </c>
      <c r="B82" s="66"/>
      <c r="C82" s="67">
        <v>16871</v>
      </c>
      <c r="D82" s="67">
        <v>15483</v>
      </c>
      <c r="E82" s="67">
        <v>14103</v>
      </c>
      <c r="F82" s="67">
        <v>12917</v>
      </c>
      <c r="G82" s="67">
        <v>12040</v>
      </c>
    </row>
    <row r="83" spans="1:7" ht="16" thickBot="1" x14ac:dyDescent="0.25">
      <c r="A83" s="65" t="s">
        <v>92</v>
      </c>
      <c r="B83" s="66"/>
      <c r="C83" s="67" t="s">
        <v>23</v>
      </c>
      <c r="D83" s="67" t="s">
        <v>23</v>
      </c>
      <c r="E83" s="67" t="s">
        <v>23</v>
      </c>
      <c r="F83" s="67" t="s">
        <v>23</v>
      </c>
      <c r="G83" s="67" t="s">
        <v>23</v>
      </c>
    </row>
    <row r="84" spans="1:7" ht="16" thickBot="1" x14ac:dyDescent="0.25">
      <c r="A84" s="65" t="s">
        <v>93</v>
      </c>
      <c r="B84" s="66"/>
      <c r="C84" s="67" t="s">
        <v>23</v>
      </c>
      <c r="D84" s="67" t="s">
        <v>23</v>
      </c>
      <c r="E84" s="67" t="s">
        <v>23</v>
      </c>
      <c r="F84" s="67" t="s">
        <v>23</v>
      </c>
      <c r="G84" s="67" t="s">
        <v>23</v>
      </c>
    </row>
    <row r="85" spans="1:7" ht="16" thickBot="1" x14ac:dyDescent="0.25">
      <c r="A85" s="65" t="s">
        <v>94</v>
      </c>
      <c r="B85" s="66"/>
      <c r="C85" s="70" t="s">
        <v>23</v>
      </c>
      <c r="D85" s="70" t="s">
        <v>23</v>
      </c>
      <c r="E85" s="70" t="s">
        <v>23</v>
      </c>
      <c r="F85" s="70" t="s">
        <v>23</v>
      </c>
      <c r="G85" s="70" t="s">
        <v>23</v>
      </c>
    </row>
    <row r="86" spans="1:7" ht="16" thickBot="1" x14ac:dyDescent="0.25">
      <c r="A86" s="65" t="s">
        <v>95</v>
      </c>
      <c r="B86" s="66"/>
      <c r="C86" s="70" t="s">
        <v>23</v>
      </c>
      <c r="D86" s="70" t="s">
        <v>23</v>
      </c>
      <c r="E86" s="70" t="s">
        <v>23</v>
      </c>
      <c r="F86" s="70" t="s">
        <v>23</v>
      </c>
      <c r="G86" s="70" t="s">
        <v>23</v>
      </c>
    </row>
    <row r="87" spans="1:7" ht="16" thickBot="1" x14ac:dyDescent="0.25">
      <c r="A87" s="65" t="s">
        <v>96</v>
      </c>
      <c r="B87" s="66"/>
      <c r="C87" s="67" t="s">
        <v>23</v>
      </c>
      <c r="D87" s="67" t="s">
        <v>23</v>
      </c>
      <c r="E87" s="67" t="s">
        <v>23</v>
      </c>
      <c r="F87" s="67" t="s">
        <v>23</v>
      </c>
      <c r="G87" s="67" t="s">
        <v>23</v>
      </c>
    </row>
    <row r="88" spans="1:7" ht="16" thickBot="1" x14ac:dyDescent="0.25">
      <c r="A88" s="65" t="s">
        <v>97</v>
      </c>
      <c r="B88" s="66"/>
      <c r="C88" s="67" t="s">
        <v>23</v>
      </c>
      <c r="D88" s="67" t="s">
        <v>23</v>
      </c>
      <c r="E88" s="67" t="s">
        <v>23</v>
      </c>
      <c r="F88" s="67" t="s">
        <v>23</v>
      </c>
      <c r="G88" s="67" t="s">
        <v>23</v>
      </c>
    </row>
    <row r="89" spans="1:7" ht="16" thickBot="1" x14ac:dyDescent="0.25">
      <c r="A89" s="65" t="s">
        <v>98</v>
      </c>
      <c r="B89" s="66"/>
      <c r="C89" s="67" t="s">
        <v>23</v>
      </c>
      <c r="D89" s="67">
        <v>186</v>
      </c>
      <c r="E89" s="67" t="s">
        <v>23</v>
      </c>
      <c r="F89" s="67" t="s">
        <v>23</v>
      </c>
      <c r="G89" s="67" t="s">
        <v>23</v>
      </c>
    </row>
    <row r="90" spans="1:7" ht="16" thickBot="1" x14ac:dyDescent="0.25">
      <c r="A90" s="65" t="s">
        <v>99</v>
      </c>
      <c r="B90" s="66"/>
      <c r="C90" s="67" t="s">
        <v>23</v>
      </c>
      <c r="D90" s="67" t="s">
        <v>23</v>
      </c>
      <c r="E90" s="67" t="s">
        <v>23</v>
      </c>
      <c r="F90" s="67" t="s">
        <v>23</v>
      </c>
      <c r="G90" s="67" t="s">
        <v>23</v>
      </c>
    </row>
    <row r="91" spans="1:7" ht="16" thickBot="1" x14ac:dyDescent="0.25">
      <c r="A91" s="65" t="s">
        <v>100</v>
      </c>
      <c r="B91" s="66"/>
      <c r="C91" s="67" t="s">
        <v>23</v>
      </c>
      <c r="D91" s="67" t="s">
        <v>23</v>
      </c>
      <c r="E91" s="67" t="s">
        <v>23</v>
      </c>
      <c r="F91" s="67" t="s">
        <v>23</v>
      </c>
      <c r="G91" s="67" t="s">
        <v>23</v>
      </c>
    </row>
    <row r="92" spans="1:7" ht="16" thickBot="1" x14ac:dyDescent="0.25">
      <c r="A92" s="65" t="s">
        <v>101</v>
      </c>
      <c r="B92" s="66"/>
      <c r="C92" s="67" t="s">
        <v>23</v>
      </c>
      <c r="D92" s="67" t="s">
        <v>23</v>
      </c>
      <c r="E92" s="67" t="s">
        <v>23</v>
      </c>
      <c r="F92" s="67" t="s">
        <v>23</v>
      </c>
      <c r="G92" s="67" t="s">
        <v>23</v>
      </c>
    </row>
    <row r="93" spans="1:7" ht="16" thickBot="1" x14ac:dyDescent="0.25">
      <c r="A93" s="65" t="s">
        <v>102</v>
      </c>
      <c r="B93" s="66"/>
      <c r="C93" s="67" t="s">
        <v>23</v>
      </c>
      <c r="D93" s="67" t="s">
        <v>23</v>
      </c>
      <c r="E93" s="67" t="s">
        <v>23</v>
      </c>
      <c r="F93" s="67" t="s">
        <v>23</v>
      </c>
      <c r="G93" s="67">
        <v>918</v>
      </c>
    </row>
    <row r="94" spans="1:7" ht="16" thickBot="1" x14ac:dyDescent="0.25">
      <c r="A94" s="65" t="s">
        <v>103</v>
      </c>
      <c r="B94" s="66"/>
      <c r="C94" s="67" t="s">
        <v>23</v>
      </c>
      <c r="D94" s="67">
        <v>186</v>
      </c>
      <c r="E94" s="67" t="s">
        <v>23</v>
      </c>
      <c r="F94" s="67" t="s">
        <v>23</v>
      </c>
      <c r="G94" s="67">
        <v>918</v>
      </c>
    </row>
    <row r="95" spans="1:7" ht="16" thickBot="1" x14ac:dyDescent="0.25">
      <c r="A95" s="65" t="s">
        <v>104</v>
      </c>
      <c r="B95" s="66"/>
      <c r="C95" s="67">
        <v>13</v>
      </c>
      <c r="D95" s="67">
        <v>319</v>
      </c>
      <c r="E95" s="67">
        <v>26</v>
      </c>
      <c r="F95" s="67">
        <v>47</v>
      </c>
      <c r="G95" s="67">
        <v>3318</v>
      </c>
    </row>
    <row r="96" spans="1:7" ht="16" thickBot="1" x14ac:dyDescent="0.25">
      <c r="A96" s="65" t="s">
        <v>105</v>
      </c>
      <c r="B96" s="66"/>
      <c r="C96" s="67">
        <v>71115</v>
      </c>
      <c r="D96" s="67">
        <v>53355</v>
      </c>
      <c r="E96" s="67">
        <v>43714</v>
      </c>
      <c r="F96" s="67">
        <v>36521</v>
      </c>
      <c r="G96" s="67">
        <v>33219</v>
      </c>
    </row>
    <row r="97" spans="1:7" ht="16" thickBot="1" x14ac:dyDescent="0.25">
      <c r="A97" s="65" t="s">
        <v>106</v>
      </c>
      <c r="B97" s="66"/>
      <c r="C97" s="67">
        <v>2</v>
      </c>
      <c r="D97" s="67">
        <v>53</v>
      </c>
      <c r="E97" s="67">
        <v>3</v>
      </c>
      <c r="F97" s="67">
        <v>8</v>
      </c>
      <c r="G97" s="67">
        <v>490</v>
      </c>
    </row>
    <row r="98" spans="1:7" ht="16" thickBot="1" x14ac:dyDescent="0.25">
      <c r="A98" s="65" t="s">
        <v>107</v>
      </c>
      <c r="B98" s="66"/>
      <c r="C98" s="67">
        <v>9833</v>
      </c>
      <c r="D98" s="67">
        <v>8808</v>
      </c>
      <c r="E98" s="67">
        <v>4294</v>
      </c>
      <c r="F98" s="67">
        <v>6211</v>
      </c>
      <c r="G98" s="67">
        <v>4902</v>
      </c>
    </row>
    <row r="99" spans="1:7" ht="16" thickBot="1" x14ac:dyDescent="0.25">
      <c r="A99" s="65" t="s">
        <v>108</v>
      </c>
      <c r="B99" s="66"/>
      <c r="C99" s="67">
        <v>61282</v>
      </c>
      <c r="D99" s="67">
        <v>44547</v>
      </c>
      <c r="E99" s="67">
        <v>39420</v>
      </c>
      <c r="F99" s="67">
        <v>30310</v>
      </c>
      <c r="G99" s="67">
        <v>28317</v>
      </c>
    </row>
    <row r="100" spans="1:7" ht="16" thickBot="1" x14ac:dyDescent="0.25">
      <c r="A100" s="65" t="s">
        <v>109</v>
      </c>
      <c r="B100" s="66"/>
      <c r="C100" s="67">
        <v>61282</v>
      </c>
      <c r="D100" s="67">
        <v>44547</v>
      </c>
      <c r="E100" s="67">
        <v>39420</v>
      </c>
      <c r="F100" s="67">
        <v>30310</v>
      </c>
      <c r="G100" s="67">
        <v>28317</v>
      </c>
    </row>
    <row r="101" spans="1:7" ht="16" thickBot="1" x14ac:dyDescent="0.25">
      <c r="A101" s="65" t="s">
        <v>110</v>
      </c>
      <c r="B101" s="66"/>
      <c r="C101" s="70">
        <v>8.1199999999999992</v>
      </c>
      <c r="D101" s="70">
        <v>5.85</v>
      </c>
      <c r="E101" s="70">
        <v>5.14</v>
      </c>
      <c r="F101" s="70">
        <v>3.94</v>
      </c>
      <c r="G101" s="70">
        <v>3.66</v>
      </c>
    </row>
    <row r="102" spans="1:7" ht="16" thickBot="1" x14ac:dyDescent="0.25">
      <c r="A102" s="65" t="s">
        <v>111</v>
      </c>
      <c r="B102" s="66"/>
      <c r="C102" s="70">
        <v>8.0500000000000007</v>
      </c>
      <c r="D102" s="70">
        <v>5.8</v>
      </c>
      <c r="E102" s="70">
        <v>5.08</v>
      </c>
      <c r="F102" s="70">
        <v>3.89</v>
      </c>
      <c r="G102" s="70">
        <v>3.62</v>
      </c>
    </row>
    <row r="103" spans="1:7" ht="16" thickBot="1" x14ac:dyDescent="0.25">
      <c r="A103" s="65" t="s">
        <v>112</v>
      </c>
      <c r="B103" s="66"/>
      <c r="C103" s="70" t="s">
        <v>23</v>
      </c>
      <c r="D103" s="70" t="s">
        <v>23</v>
      </c>
      <c r="E103" s="70" t="s">
        <v>23</v>
      </c>
      <c r="F103" s="70" t="s">
        <v>23</v>
      </c>
      <c r="G103" s="70" t="s">
        <v>23</v>
      </c>
    </row>
    <row r="104" spans="1:7" ht="16" thickBot="1" x14ac:dyDescent="0.25">
      <c r="A104" s="65" t="s">
        <v>113</v>
      </c>
      <c r="B104" s="66"/>
      <c r="C104" s="67" t="s">
        <v>23</v>
      </c>
      <c r="D104" s="67" t="s">
        <v>23</v>
      </c>
      <c r="E104" s="67" t="s">
        <v>23</v>
      </c>
      <c r="F104" s="67" t="s">
        <v>23</v>
      </c>
      <c r="G104" s="67" t="s">
        <v>23</v>
      </c>
    </row>
    <row r="105" spans="1:7" ht="16" thickBot="1" x14ac:dyDescent="0.25">
      <c r="A105" s="65" t="s">
        <v>114</v>
      </c>
      <c r="B105" s="66"/>
      <c r="C105" s="67" t="s">
        <v>23</v>
      </c>
      <c r="D105" s="67" t="s">
        <v>23</v>
      </c>
      <c r="E105" s="67" t="s">
        <v>23</v>
      </c>
      <c r="F105" s="67" t="s">
        <v>23</v>
      </c>
      <c r="G105" s="67" t="s">
        <v>23</v>
      </c>
    </row>
    <row r="106" spans="1:7" ht="16" thickBot="1" x14ac:dyDescent="0.25">
      <c r="A106" s="65" t="s">
        <v>115</v>
      </c>
      <c r="B106" s="66"/>
      <c r="C106" s="67">
        <v>1600</v>
      </c>
      <c r="D106" s="67">
        <v>1600</v>
      </c>
      <c r="E106" s="67">
        <v>1900</v>
      </c>
      <c r="F106" s="67">
        <v>2254</v>
      </c>
      <c r="G106" s="67">
        <v>1755</v>
      </c>
    </row>
    <row r="107" spans="1:7" ht="16" thickBot="1" x14ac:dyDescent="0.25">
      <c r="A107" s="65" t="s">
        <v>116</v>
      </c>
      <c r="B107" s="66"/>
      <c r="C107" s="67" t="s">
        <v>23</v>
      </c>
      <c r="D107" s="67" t="s">
        <v>23</v>
      </c>
      <c r="E107" s="67" t="s">
        <v>23</v>
      </c>
      <c r="F107" s="67" t="s">
        <v>23</v>
      </c>
      <c r="G107" s="67" t="s">
        <v>23</v>
      </c>
    </row>
    <row r="108" spans="1:7" ht="16" thickBot="1" x14ac:dyDescent="0.25">
      <c r="A108" s="65" t="s">
        <v>117</v>
      </c>
      <c r="B108" s="66"/>
      <c r="C108" s="67">
        <v>10086</v>
      </c>
      <c r="D108" s="67">
        <v>11196</v>
      </c>
      <c r="E108" s="67">
        <v>10070</v>
      </c>
      <c r="F108" s="67">
        <v>8007</v>
      </c>
      <c r="G108" s="67">
        <v>7023</v>
      </c>
    </row>
    <row r="109" spans="1:7" ht="16" thickBot="1" x14ac:dyDescent="0.25">
      <c r="A109" s="65" t="s">
        <v>118</v>
      </c>
      <c r="B109" s="66"/>
      <c r="C109" s="67">
        <v>921</v>
      </c>
      <c r="D109" s="67">
        <v>611</v>
      </c>
      <c r="E109" s="67">
        <v>370</v>
      </c>
      <c r="F109" s="67">
        <v>243</v>
      </c>
      <c r="G109" s="67">
        <v>104</v>
      </c>
    </row>
    <row r="110" spans="1:7" ht="16" thickBot="1" x14ac:dyDescent="0.25">
      <c r="A110" s="65" t="s">
        <v>119</v>
      </c>
      <c r="B110" s="66"/>
      <c r="C110" s="67">
        <v>2346</v>
      </c>
      <c r="D110" s="67">
        <v>2591</v>
      </c>
      <c r="E110" s="67">
        <v>2686</v>
      </c>
      <c r="F110" s="67">
        <v>2733</v>
      </c>
      <c r="G110" s="67">
        <v>2222</v>
      </c>
    </row>
    <row r="111" spans="1:7" ht="16" thickBot="1" x14ac:dyDescent="0.25">
      <c r="A111" s="65" t="s">
        <v>120</v>
      </c>
      <c r="B111" s="66"/>
      <c r="C111" s="67" t="s">
        <v>23</v>
      </c>
      <c r="D111" s="67" t="s">
        <v>23</v>
      </c>
      <c r="E111" s="67" t="s">
        <v>23</v>
      </c>
      <c r="F111" s="67">
        <v>-59</v>
      </c>
      <c r="G111" s="67">
        <v>-81</v>
      </c>
    </row>
    <row r="112" spans="1:7" ht="16" thickBot="1" x14ac:dyDescent="0.25">
      <c r="A112" s="65" t="s">
        <v>121</v>
      </c>
      <c r="B112" s="66"/>
      <c r="C112" s="67">
        <v>386</v>
      </c>
      <c r="D112" s="67">
        <v>336</v>
      </c>
      <c r="E112" s="67">
        <v>247</v>
      </c>
      <c r="F112" s="67">
        <v>175</v>
      </c>
      <c r="G112" s="67">
        <v>68</v>
      </c>
    </row>
    <row r="113" spans="1:7" ht="16" thickBot="1" x14ac:dyDescent="0.25">
      <c r="A113" s="65" t="s">
        <v>122</v>
      </c>
      <c r="B113" s="66"/>
      <c r="C113" s="67" t="s">
        <v>23</v>
      </c>
      <c r="D113" s="67" t="s">
        <v>23</v>
      </c>
      <c r="E113" s="67" t="s">
        <v>23</v>
      </c>
      <c r="F113" s="67" t="s">
        <v>23</v>
      </c>
      <c r="G113" s="67" t="s">
        <v>23</v>
      </c>
    </row>
    <row r="114" spans="1:7" ht="16" thickBot="1" x14ac:dyDescent="0.25">
      <c r="A114" s="65" t="s">
        <v>123</v>
      </c>
      <c r="B114" s="66"/>
      <c r="C114" s="67" t="s">
        <v>23</v>
      </c>
      <c r="D114" s="67" t="s">
        <v>23</v>
      </c>
      <c r="E114" s="67" t="s">
        <v>23</v>
      </c>
      <c r="F114" s="67" t="s">
        <v>23</v>
      </c>
      <c r="G114" s="67" t="s">
        <v>23</v>
      </c>
    </row>
    <row r="115" spans="1:7" ht="16" thickBot="1" x14ac:dyDescent="0.25">
      <c r="A115" s="65" t="s">
        <v>124</v>
      </c>
      <c r="B115" s="66"/>
      <c r="C115" s="67">
        <v>2127</v>
      </c>
      <c r="D115" s="67">
        <v>2043</v>
      </c>
      <c r="E115" s="67">
        <v>1707</v>
      </c>
      <c r="F115" s="67">
        <v>1571</v>
      </c>
      <c r="G115" s="67">
        <v>1270</v>
      </c>
    </row>
    <row r="116" spans="1:7" ht="16" thickBot="1" x14ac:dyDescent="0.25">
      <c r="A116" s="65" t="s">
        <v>125</v>
      </c>
      <c r="B116" s="66"/>
      <c r="C116" s="67" t="s">
        <v>23</v>
      </c>
      <c r="D116" s="67" t="s">
        <v>23</v>
      </c>
      <c r="E116" s="67" t="s">
        <v>23</v>
      </c>
      <c r="F116" s="67" t="s">
        <v>23</v>
      </c>
      <c r="G116" s="67" t="s">
        <v>23</v>
      </c>
    </row>
    <row r="117" spans="1:7" ht="16" thickBot="1" x14ac:dyDescent="0.25">
      <c r="A117" s="65" t="s">
        <v>126</v>
      </c>
      <c r="B117" s="66"/>
      <c r="C117" s="67">
        <v>6118</v>
      </c>
      <c r="D117" s="67">
        <v>5289</v>
      </c>
      <c r="E117" s="67">
        <v>4652</v>
      </c>
      <c r="F117" s="67">
        <v>3940</v>
      </c>
      <c r="G117" s="67">
        <v>3266</v>
      </c>
    </row>
    <row r="118" spans="1:7" ht="16" thickBot="1" x14ac:dyDescent="0.25">
      <c r="A118" s="65" t="s">
        <v>127</v>
      </c>
      <c r="B118" s="66"/>
      <c r="C118" s="67" t="s">
        <v>23</v>
      </c>
      <c r="D118" s="67" t="s">
        <v>23</v>
      </c>
      <c r="E118" s="67" t="s">
        <v>23</v>
      </c>
      <c r="F118" s="67" t="s">
        <v>23</v>
      </c>
      <c r="G118" s="67" t="s">
        <v>23</v>
      </c>
    </row>
    <row r="119" spans="1:7" ht="16" thickBot="1" x14ac:dyDescent="0.25">
      <c r="A119" s="65" t="s">
        <v>128</v>
      </c>
      <c r="B119" s="66"/>
      <c r="C119" s="67" t="s">
        <v>23</v>
      </c>
      <c r="D119" s="67" t="s">
        <v>23</v>
      </c>
      <c r="E119" s="67" t="s">
        <v>23</v>
      </c>
      <c r="F119" s="67" t="s">
        <v>23</v>
      </c>
      <c r="G119" s="67" t="s">
        <v>23</v>
      </c>
    </row>
    <row r="120" spans="1:7" ht="16" thickBot="1" x14ac:dyDescent="0.25">
      <c r="A120" s="65" t="s">
        <v>129</v>
      </c>
      <c r="B120" s="66"/>
      <c r="C120" s="67" t="s">
        <v>23</v>
      </c>
      <c r="D120" s="67" t="s">
        <v>23</v>
      </c>
      <c r="E120" s="67" t="s">
        <v>23</v>
      </c>
      <c r="F120" s="67" t="s">
        <v>23</v>
      </c>
      <c r="G120" s="67" t="s">
        <v>23</v>
      </c>
    </row>
    <row r="121" spans="1:7" ht="16" thickBot="1" x14ac:dyDescent="0.25">
      <c r="A121" s="65" t="s">
        <v>130</v>
      </c>
      <c r="B121" s="66"/>
      <c r="C121" s="67" t="s">
        <v>23</v>
      </c>
      <c r="D121" s="67" t="s">
        <v>23</v>
      </c>
      <c r="E121" s="67" t="s">
        <v>23</v>
      </c>
      <c r="F121" s="67" t="s">
        <v>23</v>
      </c>
      <c r="G121" s="67" t="s">
        <v>23</v>
      </c>
    </row>
    <row r="122" spans="1:7" ht="16" thickBot="1" x14ac:dyDescent="0.25">
      <c r="A122" s="65" t="s">
        <v>131</v>
      </c>
      <c r="B122" s="66"/>
      <c r="C122" s="67" t="s">
        <v>23</v>
      </c>
      <c r="D122" s="67" t="s">
        <v>23</v>
      </c>
      <c r="E122" s="67" t="s">
        <v>23</v>
      </c>
      <c r="F122" s="67" t="s">
        <v>23</v>
      </c>
      <c r="G122" s="67" t="s">
        <v>23</v>
      </c>
    </row>
    <row r="123" spans="1:7" ht="16" thickBot="1" x14ac:dyDescent="0.25">
      <c r="A123" s="65" t="s">
        <v>132</v>
      </c>
      <c r="B123" s="66"/>
      <c r="C123" s="67" t="s">
        <v>23</v>
      </c>
      <c r="D123" s="67" t="s">
        <v>23</v>
      </c>
      <c r="E123" s="67" t="s">
        <v>23</v>
      </c>
      <c r="F123" s="67" t="s">
        <v>23</v>
      </c>
      <c r="G123" s="67" t="s">
        <v>23</v>
      </c>
    </row>
    <row r="124" spans="1:7" ht="16" thickBot="1" x14ac:dyDescent="0.25">
      <c r="A124" s="65" t="s">
        <v>133</v>
      </c>
      <c r="B124" s="66"/>
      <c r="C124" s="67">
        <v>1500</v>
      </c>
      <c r="D124" s="67">
        <v>1600</v>
      </c>
      <c r="E124" s="67">
        <v>1600</v>
      </c>
      <c r="F124" s="67">
        <v>1600</v>
      </c>
      <c r="G124" s="67">
        <v>1300</v>
      </c>
    </row>
    <row r="125" spans="1:7" ht="16" thickBot="1" x14ac:dyDescent="0.25">
      <c r="A125" s="65" t="s">
        <v>134</v>
      </c>
      <c r="B125" s="66"/>
      <c r="C125" s="67" t="s">
        <v>23</v>
      </c>
      <c r="D125" s="67" t="s">
        <v>23</v>
      </c>
      <c r="E125" s="67" t="s">
        <v>23</v>
      </c>
      <c r="F125" s="67" t="s">
        <v>23</v>
      </c>
      <c r="G125" s="67" t="s">
        <v>23</v>
      </c>
    </row>
    <row r="126" spans="1:7" ht="16" thickBot="1" x14ac:dyDescent="0.25">
      <c r="A126" s="65" t="s">
        <v>135</v>
      </c>
      <c r="B126" s="66"/>
      <c r="C126" s="67" t="s">
        <v>23</v>
      </c>
      <c r="D126" s="67" t="s">
        <v>23</v>
      </c>
      <c r="E126" s="67" t="s">
        <v>23</v>
      </c>
      <c r="F126" s="67" t="s">
        <v>23</v>
      </c>
      <c r="G126" s="67" t="s">
        <v>23</v>
      </c>
    </row>
    <row r="127" spans="1:7" ht="16" thickBot="1" x14ac:dyDescent="0.25">
      <c r="A127" s="65" t="s">
        <v>136</v>
      </c>
      <c r="B127" s="66"/>
      <c r="C127" s="67" t="s">
        <v>23</v>
      </c>
      <c r="D127" s="67">
        <v>0</v>
      </c>
      <c r="E127" s="67">
        <v>157</v>
      </c>
      <c r="F127" s="67">
        <v>13700</v>
      </c>
      <c r="G127" s="67" t="s">
        <v>23</v>
      </c>
    </row>
    <row r="128" spans="1:7" ht="16" thickBot="1" x14ac:dyDescent="0.25">
      <c r="A128" s="65" t="s">
        <v>137</v>
      </c>
      <c r="B128" s="66"/>
      <c r="C128" s="67">
        <v>20716</v>
      </c>
      <c r="D128" s="67">
        <v>19269</v>
      </c>
      <c r="E128" s="67">
        <v>16876</v>
      </c>
      <c r="F128" s="67">
        <v>14726</v>
      </c>
      <c r="G128" s="67">
        <v>12292</v>
      </c>
    </row>
    <row r="129" spans="1:7" ht="16" thickBot="1" x14ac:dyDescent="0.25">
      <c r="A129" s="65" t="s">
        <v>138</v>
      </c>
      <c r="B129" s="66"/>
      <c r="C129" s="67">
        <v>42</v>
      </c>
      <c r="D129" s="67">
        <v>42</v>
      </c>
      <c r="E129" s="67">
        <v>41</v>
      </c>
      <c r="F129" s="67">
        <v>42</v>
      </c>
      <c r="G129" s="67">
        <v>43</v>
      </c>
    </row>
    <row r="130" spans="1:7" ht="16" thickBot="1" x14ac:dyDescent="0.25">
      <c r="A130" s="65" t="s">
        <v>139</v>
      </c>
      <c r="B130" s="66"/>
      <c r="C130" s="67">
        <v>10</v>
      </c>
      <c r="D130" s="67">
        <v>10</v>
      </c>
      <c r="E130" s="67">
        <v>14</v>
      </c>
      <c r="F130" s="67">
        <v>14</v>
      </c>
      <c r="G130" s="67">
        <v>14</v>
      </c>
    </row>
    <row r="131" spans="1:7" ht="16" thickBot="1" x14ac:dyDescent="0.25">
      <c r="A131" s="65" t="s">
        <v>140</v>
      </c>
      <c r="B131" s="66"/>
      <c r="C131" s="67">
        <v>4</v>
      </c>
      <c r="D131" s="67">
        <v>3</v>
      </c>
      <c r="E131" s="67">
        <v>2</v>
      </c>
      <c r="F131" s="67">
        <v>1</v>
      </c>
      <c r="G131" s="67">
        <v>1</v>
      </c>
    </row>
    <row r="132" spans="1:7" ht="16" thickBot="1" x14ac:dyDescent="0.25">
      <c r="A132" s="65" t="s">
        <v>141</v>
      </c>
      <c r="B132" s="66"/>
      <c r="C132" s="67">
        <v>0</v>
      </c>
      <c r="D132" s="67">
        <v>0</v>
      </c>
      <c r="E132" s="67">
        <v>0</v>
      </c>
      <c r="F132" s="67">
        <v>0</v>
      </c>
      <c r="G132" s="67">
        <v>0</v>
      </c>
    </row>
    <row r="133" spans="1:7" ht="16" thickBot="1" x14ac:dyDescent="0.25">
      <c r="A133" s="65" t="s">
        <v>142</v>
      </c>
      <c r="B133" s="66"/>
      <c r="C133" s="67" t="s">
        <v>23</v>
      </c>
      <c r="D133" s="67" t="s">
        <v>23</v>
      </c>
      <c r="E133" s="67" t="s">
        <v>23</v>
      </c>
      <c r="F133" s="67" t="s">
        <v>23</v>
      </c>
      <c r="G133" s="67" t="s">
        <v>23</v>
      </c>
    </row>
    <row r="134" spans="1:7" ht="16" thickBot="1" x14ac:dyDescent="0.25">
      <c r="A134" s="65" t="s">
        <v>143</v>
      </c>
      <c r="B134" s="66"/>
      <c r="C134" s="67" t="s">
        <v>23</v>
      </c>
      <c r="D134" s="67" t="s">
        <v>23</v>
      </c>
      <c r="E134" s="67" t="s">
        <v>23</v>
      </c>
      <c r="F134" s="67" t="s">
        <v>23</v>
      </c>
      <c r="G134" s="67" t="s">
        <v>23</v>
      </c>
    </row>
    <row r="135" spans="1:7" ht="16" thickBot="1" x14ac:dyDescent="0.25">
      <c r="A135" s="65" t="s">
        <v>144</v>
      </c>
      <c r="B135" s="66"/>
      <c r="C135" s="67" t="s">
        <v>23</v>
      </c>
      <c r="D135" s="67" t="s">
        <v>23</v>
      </c>
      <c r="E135" s="67" t="s">
        <v>23</v>
      </c>
      <c r="F135" s="67" t="s">
        <v>23</v>
      </c>
      <c r="G135" s="67" t="s">
        <v>23</v>
      </c>
    </row>
    <row r="136" spans="1:7" ht="16" thickBot="1" x14ac:dyDescent="0.25">
      <c r="A136" s="65" t="s">
        <v>145</v>
      </c>
      <c r="B136" s="66"/>
      <c r="C136" s="67" t="s">
        <v>23</v>
      </c>
      <c r="D136" s="67" t="s">
        <v>23</v>
      </c>
      <c r="E136" s="67" t="s">
        <v>23</v>
      </c>
      <c r="F136" s="67" t="s">
        <v>23</v>
      </c>
      <c r="G136" s="67" t="s">
        <v>23</v>
      </c>
    </row>
    <row r="137" spans="1:7" ht="16" thickBot="1" x14ac:dyDescent="0.25">
      <c r="A137" s="65" t="s">
        <v>146</v>
      </c>
      <c r="B137" s="66"/>
      <c r="C137" s="67" t="s">
        <v>23</v>
      </c>
      <c r="D137" s="67" t="s">
        <v>23</v>
      </c>
      <c r="E137" s="67" t="s">
        <v>23</v>
      </c>
      <c r="F137" s="67" t="s">
        <v>23</v>
      </c>
      <c r="G137" s="67" t="s">
        <v>23</v>
      </c>
    </row>
    <row r="138" spans="1:7" ht="16" thickBot="1" x14ac:dyDescent="0.25">
      <c r="A138" s="65" t="s">
        <v>147</v>
      </c>
      <c r="B138" s="66"/>
      <c r="C138" s="67" t="s">
        <v>23</v>
      </c>
      <c r="D138" s="67" t="s">
        <v>23</v>
      </c>
      <c r="E138" s="67" t="s">
        <v>23</v>
      </c>
      <c r="F138" s="67" t="s">
        <v>23</v>
      </c>
      <c r="G138" s="67" t="s">
        <v>23</v>
      </c>
    </row>
    <row r="139" spans="1:7" ht="16" thickBot="1" x14ac:dyDescent="0.25">
      <c r="A139" s="65" t="s">
        <v>148</v>
      </c>
      <c r="B139" s="66"/>
      <c r="C139" s="67" t="s">
        <v>23</v>
      </c>
      <c r="D139" s="67" t="s">
        <v>23</v>
      </c>
      <c r="E139" s="67" t="s">
        <v>23</v>
      </c>
      <c r="F139" s="67" t="s">
        <v>23</v>
      </c>
      <c r="G139" s="67" t="s">
        <v>23</v>
      </c>
    </row>
    <row r="140" spans="1:7" ht="16" thickBot="1" x14ac:dyDescent="0.25">
      <c r="A140" s="65" t="s">
        <v>149</v>
      </c>
      <c r="B140" s="66"/>
      <c r="C140" s="67" t="s">
        <v>23</v>
      </c>
      <c r="D140" s="67" t="s">
        <v>23</v>
      </c>
      <c r="E140" s="67" t="s">
        <v>23</v>
      </c>
      <c r="F140" s="67" t="s">
        <v>23</v>
      </c>
      <c r="G140" s="67" t="s">
        <v>23</v>
      </c>
    </row>
    <row r="141" spans="1:7" ht="16" thickBot="1" x14ac:dyDescent="0.25">
      <c r="A141" s="65" t="s">
        <v>150</v>
      </c>
      <c r="B141" s="66"/>
      <c r="C141" s="75" t="s">
        <v>23</v>
      </c>
      <c r="D141" s="75" t="s">
        <v>23</v>
      </c>
      <c r="E141" s="75" t="s">
        <v>23</v>
      </c>
      <c r="F141" s="75" t="s">
        <v>23</v>
      </c>
      <c r="G141" s="75" t="s">
        <v>23</v>
      </c>
    </row>
    <row r="142" spans="1:7" ht="16" thickBot="1" x14ac:dyDescent="0.25">
      <c r="A142" s="65" t="s">
        <v>151</v>
      </c>
      <c r="B142" s="66"/>
      <c r="C142" s="67" t="s">
        <v>23</v>
      </c>
      <c r="D142" s="67" t="s">
        <v>23</v>
      </c>
      <c r="E142" s="67" t="s">
        <v>23</v>
      </c>
      <c r="F142" s="67" t="s">
        <v>23</v>
      </c>
      <c r="G142" s="67" t="s">
        <v>23</v>
      </c>
    </row>
    <row r="143" spans="1:7" ht="16" thickBot="1" x14ac:dyDescent="0.25">
      <c r="A143" s="65" t="s">
        <v>152</v>
      </c>
      <c r="B143" s="66"/>
      <c r="C143" s="67" t="s">
        <v>23</v>
      </c>
      <c r="D143" s="67" t="s">
        <v>23</v>
      </c>
      <c r="E143" s="67" t="s">
        <v>23</v>
      </c>
      <c r="F143" s="67" t="s">
        <v>23</v>
      </c>
      <c r="G143" s="67" t="s">
        <v>23</v>
      </c>
    </row>
    <row r="144" spans="1:7" ht="16" thickBot="1" x14ac:dyDescent="0.25">
      <c r="A144" s="65" t="s">
        <v>153</v>
      </c>
      <c r="B144" s="66"/>
      <c r="C144" s="70" t="s">
        <v>23</v>
      </c>
      <c r="D144" s="70" t="s">
        <v>23</v>
      </c>
      <c r="E144" s="70" t="s">
        <v>23</v>
      </c>
      <c r="F144" s="70" t="s">
        <v>23</v>
      </c>
      <c r="G144" s="70" t="s">
        <v>23</v>
      </c>
    </row>
    <row r="145" spans="1:7" ht="16" thickBot="1" x14ac:dyDescent="0.25">
      <c r="A145" s="65" t="s">
        <v>154</v>
      </c>
      <c r="B145" s="66"/>
      <c r="C145" s="70" t="s">
        <v>23</v>
      </c>
      <c r="D145" s="70" t="s">
        <v>23</v>
      </c>
      <c r="E145" s="70" t="s">
        <v>23</v>
      </c>
      <c r="F145" s="70" t="s">
        <v>23</v>
      </c>
      <c r="G145" s="70" t="s">
        <v>23</v>
      </c>
    </row>
    <row r="146" spans="1:7" ht="16" thickBot="1" x14ac:dyDescent="0.25">
      <c r="A146" s="65" t="s">
        <v>155</v>
      </c>
      <c r="B146" s="66"/>
      <c r="C146" s="67" t="s">
        <v>23</v>
      </c>
      <c r="D146" s="67" t="s">
        <v>23</v>
      </c>
      <c r="E146" s="67" t="s">
        <v>23</v>
      </c>
      <c r="F146" s="67" t="s">
        <v>23</v>
      </c>
      <c r="G146" s="67" t="s">
        <v>23</v>
      </c>
    </row>
    <row r="147" spans="1:7" ht="16" thickBot="1" x14ac:dyDescent="0.25">
      <c r="A147" s="65" t="s">
        <v>156</v>
      </c>
      <c r="B147" s="66"/>
      <c r="C147" s="67" t="s">
        <v>23</v>
      </c>
      <c r="D147" s="67" t="s">
        <v>23</v>
      </c>
      <c r="E147" s="67" t="s">
        <v>23</v>
      </c>
      <c r="F147" s="67" t="s">
        <v>23</v>
      </c>
      <c r="G147" s="67" t="s">
        <v>23</v>
      </c>
    </row>
    <row r="148" spans="1:7" ht="16" thickBot="1" x14ac:dyDescent="0.25">
      <c r="A148" s="65" t="s">
        <v>157</v>
      </c>
      <c r="B148" s="66"/>
      <c r="C148" s="67" t="s">
        <v>23</v>
      </c>
      <c r="D148" s="67" t="s">
        <v>23</v>
      </c>
      <c r="E148" s="67" t="s">
        <v>23</v>
      </c>
      <c r="F148" s="67" t="s">
        <v>23</v>
      </c>
      <c r="G148" s="67" t="s">
        <v>23</v>
      </c>
    </row>
    <row r="149" spans="1:7" ht="16" thickBot="1" x14ac:dyDescent="0.25">
      <c r="A149" s="65" t="s">
        <v>158</v>
      </c>
      <c r="B149" s="66"/>
      <c r="C149" s="67" t="s">
        <v>23</v>
      </c>
      <c r="D149" s="67" t="s">
        <v>23</v>
      </c>
      <c r="E149" s="67" t="s">
        <v>23</v>
      </c>
      <c r="F149" s="67" t="s">
        <v>23</v>
      </c>
      <c r="G149" s="67" t="s">
        <v>23</v>
      </c>
    </row>
    <row r="150" spans="1:7" ht="16" thickBot="1" x14ac:dyDescent="0.25">
      <c r="A150" s="65" t="s">
        <v>159</v>
      </c>
      <c r="B150" s="66"/>
      <c r="C150" s="67" t="s">
        <v>23</v>
      </c>
      <c r="D150" s="67" t="s">
        <v>23</v>
      </c>
      <c r="E150" s="67" t="s">
        <v>23</v>
      </c>
      <c r="F150" s="67" t="s">
        <v>23</v>
      </c>
      <c r="G150" s="67" t="s">
        <v>23</v>
      </c>
    </row>
    <row r="151" spans="1:7" ht="16" thickBot="1" x14ac:dyDescent="0.25">
      <c r="A151" s="65" t="s">
        <v>160</v>
      </c>
      <c r="B151" s="66"/>
      <c r="C151" s="67" t="s">
        <v>23</v>
      </c>
      <c r="D151" s="67" t="s">
        <v>23</v>
      </c>
      <c r="E151" s="67" t="s">
        <v>23</v>
      </c>
      <c r="F151" s="67" t="s">
        <v>23</v>
      </c>
      <c r="G151" s="67" t="s">
        <v>23</v>
      </c>
    </row>
    <row r="152" spans="1:7" ht="16" thickBot="1" x14ac:dyDescent="0.25">
      <c r="A152" s="65" t="s">
        <v>161</v>
      </c>
      <c r="B152" s="66"/>
      <c r="C152" s="67" t="s">
        <v>23</v>
      </c>
      <c r="D152" s="67" t="s">
        <v>23</v>
      </c>
      <c r="E152" s="67" t="s">
        <v>23</v>
      </c>
      <c r="F152" s="67" t="s">
        <v>23</v>
      </c>
      <c r="G152" s="67" t="s">
        <v>23</v>
      </c>
    </row>
    <row r="153" spans="1:7" ht="16" thickBot="1" x14ac:dyDescent="0.25">
      <c r="A153" s="65" t="s">
        <v>162</v>
      </c>
      <c r="B153" s="66"/>
      <c r="C153" s="67" t="s">
        <v>23</v>
      </c>
      <c r="D153" s="67" t="s">
        <v>23</v>
      </c>
      <c r="E153" s="67" t="s">
        <v>23</v>
      </c>
      <c r="F153" s="67" t="s">
        <v>23</v>
      </c>
      <c r="G153" s="67" t="s">
        <v>23</v>
      </c>
    </row>
    <row r="154" spans="1:7" ht="16" thickBot="1" x14ac:dyDescent="0.25">
      <c r="A154" s="65" t="s">
        <v>163</v>
      </c>
      <c r="B154" s="66"/>
      <c r="C154" s="67" t="s">
        <v>23</v>
      </c>
      <c r="D154" s="67" t="s">
        <v>23</v>
      </c>
      <c r="E154" s="67" t="s">
        <v>23</v>
      </c>
      <c r="F154" s="67" t="s">
        <v>23</v>
      </c>
      <c r="G154" s="67" t="s">
        <v>23</v>
      </c>
    </row>
    <row r="155" spans="1:7" ht="16" thickBot="1" x14ac:dyDescent="0.25">
      <c r="A155" s="65" t="s">
        <v>164</v>
      </c>
      <c r="B155" s="66"/>
      <c r="C155" s="67" t="s">
        <v>23</v>
      </c>
      <c r="D155" s="67" t="s">
        <v>23</v>
      </c>
      <c r="E155" s="67" t="s">
        <v>23</v>
      </c>
      <c r="F155" s="67" t="s">
        <v>23</v>
      </c>
      <c r="G155" s="67" t="s">
        <v>23</v>
      </c>
    </row>
    <row r="156" spans="1:7" ht="16" thickBot="1" x14ac:dyDescent="0.25">
      <c r="A156" s="65" t="s">
        <v>165</v>
      </c>
      <c r="B156" s="66"/>
      <c r="C156" s="67">
        <v>69916</v>
      </c>
      <c r="D156" s="67">
        <v>53145</v>
      </c>
      <c r="E156" s="67">
        <v>42959</v>
      </c>
      <c r="F156" s="67">
        <v>35058</v>
      </c>
      <c r="G156" s="67">
        <v>32288</v>
      </c>
    </row>
    <row r="157" spans="1:7" x14ac:dyDescent="0.2">
      <c r="A157" s="71" t="s">
        <v>166</v>
      </c>
      <c r="B157" s="72"/>
      <c r="C157" s="67">
        <v>81602</v>
      </c>
      <c r="D157" s="67">
        <v>65941</v>
      </c>
      <c r="E157" s="67">
        <v>54929</v>
      </c>
      <c r="F157" s="67">
        <v>45319</v>
      </c>
      <c r="G157" s="67">
        <v>41066</v>
      </c>
    </row>
    <row r="158" spans="1:7" ht="12" customHeight="1" thickBot="1" x14ac:dyDescent="0.25">
      <c r="A158" s="73" t="s">
        <v>167</v>
      </c>
      <c r="B158" s="73"/>
      <c r="C158" s="74"/>
      <c r="D158" s="74"/>
      <c r="E158" s="74"/>
      <c r="F158" s="74"/>
      <c r="G158" s="74"/>
    </row>
    <row r="159" spans="1:7" ht="16" thickBot="1" x14ac:dyDescent="0.25">
      <c r="A159" s="59" t="s">
        <v>168</v>
      </c>
      <c r="B159" s="60"/>
      <c r="C159" s="61">
        <v>9981</v>
      </c>
      <c r="D159" s="61">
        <v>8744</v>
      </c>
      <c r="E159" s="61">
        <v>10911</v>
      </c>
      <c r="F159" s="61">
        <v>7146</v>
      </c>
      <c r="G159" s="61">
        <v>5241</v>
      </c>
    </row>
    <row r="160" spans="1:7" ht="16" thickBot="1" x14ac:dyDescent="0.25">
      <c r="A160" s="62" t="s">
        <v>169</v>
      </c>
      <c r="B160" s="63"/>
      <c r="C160" s="64">
        <v>3285</v>
      </c>
      <c r="D160" s="64">
        <v>3537</v>
      </c>
      <c r="E160" s="64">
        <v>4718</v>
      </c>
      <c r="F160" s="64">
        <v>1864</v>
      </c>
      <c r="G160" s="64">
        <v>2739</v>
      </c>
    </row>
    <row r="161" spans="1:7" ht="16" thickBot="1" x14ac:dyDescent="0.25">
      <c r="A161" s="62" t="s">
        <v>170</v>
      </c>
      <c r="B161" s="63"/>
      <c r="C161" s="64">
        <v>5467</v>
      </c>
      <c r="D161" s="64">
        <v>4444</v>
      </c>
      <c r="E161" s="64">
        <v>5531</v>
      </c>
      <c r="F161" s="64">
        <v>4348</v>
      </c>
      <c r="G161" s="64">
        <v>2472</v>
      </c>
    </row>
    <row r="162" spans="1:7" ht="16" thickBot="1" x14ac:dyDescent="0.25">
      <c r="A162" s="62" t="s">
        <v>171</v>
      </c>
      <c r="B162" s="63"/>
      <c r="C162" s="64">
        <v>1229</v>
      </c>
      <c r="D162" s="64">
        <v>763</v>
      </c>
      <c r="E162" s="64">
        <v>662</v>
      </c>
      <c r="F162" s="64">
        <v>934</v>
      </c>
      <c r="G162" s="64">
        <v>30</v>
      </c>
    </row>
    <row r="163" spans="1:7" ht="16" thickBot="1" x14ac:dyDescent="0.25">
      <c r="A163" s="59" t="s">
        <v>172</v>
      </c>
      <c r="B163" s="60"/>
      <c r="C163" s="61">
        <v>-150</v>
      </c>
      <c r="D163" s="61">
        <v>11</v>
      </c>
      <c r="E163" s="61">
        <v>-6620</v>
      </c>
      <c r="F163" s="61">
        <v>-943</v>
      </c>
      <c r="G163" s="61">
        <v>-829</v>
      </c>
    </row>
    <row r="164" spans="1:7" ht="16" thickBot="1" x14ac:dyDescent="0.25">
      <c r="A164" s="62" t="s">
        <v>173</v>
      </c>
      <c r="B164" s="63"/>
      <c r="C164" s="64">
        <v>25</v>
      </c>
      <c r="D164" s="64">
        <v>58</v>
      </c>
      <c r="E164" s="64">
        <v>-5804</v>
      </c>
      <c r="F164" s="64">
        <v>-92</v>
      </c>
      <c r="G164" s="64">
        <v>-554</v>
      </c>
    </row>
    <row r="165" spans="1:7" ht="16" thickBot="1" x14ac:dyDescent="0.25">
      <c r="A165" s="62" t="s">
        <v>174</v>
      </c>
      <c r="B165" s="63"/>
      <c r="C165" s="64">
        <v>29</v>
      </c>
      <c r="D165" s="64">
        <v>-41</v>
      </c>
      <c r="E165" s="64">
        <v>194</v>
      </c>
      <c r="F165" s="64">
        <v>-393</v>
      </c>
      <c r="G165" s="64">
        <v>-544</v>
      </c>
    </row>
    <row r="166" spans="1:7" ht="16" thickBot="1" x14ac:dyDescent="0.25">
      <c r="A166" s="62" t="s">
        <v>175</v>
      </c>
      <c r="B166" s="63"/>
      <c r="C166" s="64">
        <v>-204</v>
      </c>
      <c r="D166" s="64">
        <v>-6</v>
      </c>
      <c r="E166" s="64">
        <v>-1010</v>
      </c>
      <c r="F166" s="64">
        <v>-458</v>
      </c>
      <c r="G166" s="64">
        <v>269</v>
      </c>
    </row>
    <row r="167" spans="1:7" ht="16" thickBot="1" x14ac:dyDescent="0.25">
      <c r="A167" s="62" t="s">
        <v>172</v>
      </c>
      <c r="B167" s="63"/>
      <c r="C167" s="64" t="s">
        <v>23</v>
      </c>
      <c r="D167" s="64" t="s">
        <v>23</v>
      </c>
      <c r="E167" s="64" t="s">
        <v>23</v>
      </c>
      <c r="F167" s="64" t="s">
        <v>23</v>
      </c>
      <c r="G167" s="64" t="s">
        <v>23</v>
      </c>
    </row>
    <row r="168" spans="1:7" ht="16" thickBot="1" x14ac:dyDescent="0.25">
      <c r="A168" s="65" t="s">
        <v>176</v>
      </c>
      <c r="B168" s="66"/>
      <c r="C168" s="67">
        <v>9831</v>
      </c>
      <c r="D168" s="67">
        <v>8755</v>
      </c>
      <c r="E168" s="67">
        <v>4291</v>
      </c>
      <c r="F168" s="67">
        <v>6203</v>
      </c>
      <c r="G168" s="67">
        <v>4412</v>
      </c>
    </row>
    <row r="169" spans="1:7" ht="16" thickBot="1" x14ac:dyDescent="0.25">
      <c r="A169" s="65" t="s">
        <v>177</v>
      </c>
      <c r="B169" s="66"/>
      <c r="C169" s="67" t="s">
        <v>23</v>
      </c>
      <c r="D169" s="67" t="s">
        <v>23</v>
      </c>
      <c r="E169" s="67" t="s">
        <v>23</v>
      </c>
      <c r="F169" s="67" t="s">
        <v>23</v>
      </c>
      <c r="G169" s="67" t="s">
        <v>23</v>
      </c>
    </row>
    <row r="170" spans="1:7" ht="16" thickBot="1" x14ac:dyDescent="0.25">
      <c r="A170" s="65" t="s">
        <v>178</v>
      </c>
      <c r="B170" s="66"/>
      <c r="C170" s="67" t="s">
        <v>23</v>
      </c>
      <c r="D170" s="67" t="s">
        <v>23</v>
      </c>
      <c r="E170" s="67" t="s">
        <v>23</v>
      </c>
      <c r="F170" s="67" t="s">
        <v>23</v>
      </c>
      <c r="G170" s="67" t="s">
        <v>23</v>
      </c>
    </row>
    <row r="171" spans="1:7" ht="16" thickBot="1" x14ac:dyDescent="0.25">
      <c r="A171" s="65" t="s">
        <v>179</v>
      </c>
      <c r="B171" s="66"/>
      <c r="C171" s="67" t="s">
        <v>23</v>
      </c>
      <c r="D171" s="67" t="s">
        <v>23</v>
      </c>
      <c r="E171" s="67" t="s">
        <v>23</v>
      </c>
      <c r="F171" s="67" t="s">
        <v>23</v>
      </c>
      <c r="G171" s="67" t="s">
        <v>23</v>
      </c>
    </row>
    <row r="172" spans="1:7" ht="16" thickBot="1" x14ac:dyDescent="0.25">
      <c r="A172" s="65" t="s">
        <v>180</v>
      </c>
      <c r="B172" s="66"/>
      <c r="C172" s="67" t="s">
        <v>23</v>
      </c>
      <c r="D172" s="67" t="s">
        <v>23</v>
      </c>
      <c r="E172" s="67" t="s">
        <v>23</v>
      </c>
      <c r="F172" s="67" t="s">
        <v>23</v>
      </c>
      <c r="G172" s="67" t="s">
        <v>23</v>
      </c>
    </row>
    <row r="173" spans="1:7" ht="16" thickBot="1" x14ac:dyDescent="0.25">
      <c r="A173" s="59" t="s">
        <v>181</v>
      </c>
      <c r="B173" s="60"/>
      <c r="C173" s="61">
        <v>1200</v>
      </c>
      <c r="D173" s="61">
        <v>1000</v>
      </c>
      <c r="E173" s="61">
        <v>877</v>
      </c>
      <c r="F173" s="61">
        <v>807</v>
      </c>
      <c r="G173" s="61" t="s">
        <v>23</v>
      </c>
    </row>
    <row r="174" spans="1:7" ht="16" thickBot="1" x14ac:dyDescent="0.25">
      <c r="A174" s="62" t="s">
        <v>182</v>
      </c>
      <c r="B174" s="63"/>
      <c r="C174" s="64">
        <v>1200</v>
      </c>
      <c r="D174" s="64">
        <v>1000</v>
      </c>
      <c r="E174" s="64">
        <v>877</v>
      </c>
      <c r="F174" s="64">
        <v>807</v>
      </c>
      <c r="G174" s="64" t="s">
        <v>23</v>
      </c>
    </row>
    <row r="175" spans="1:7" ht="16" thickBot="1" x14ac:dyDescent="0.25">
      <c r="A175" s="65" t="s">
        <v>183</v>
      </c>
      <c r="B175" s="66"/>
      <c r="C175" s="67" t="s">
        <v>23</v>
      </c>
      <c r="D175" s="67" t="s">
        <v>23</v>
      </c>
      <c r="E175" s="67" t="s">
        <v>23</v>
      </c>
      <c r="F175" s="67" t="s">
        <v>23</v>
      </c>
      <c r="G175" s="67" t="s">
        <v>23</v>
      </c>
    </row>
    <row r="176" spans="1:7" ht="16" thickBot="1" x14ac:dyDescent="0.25">
      <c r="A176" s="65" t="s">
        <v>184</v>
      </c>
      <c r="B176" s="66"/>
      <c r="C176" s="67" t="s">
        <v>23</v>
      </c>
      <c r="D176" s="67" t="s">
        <v>23</v>
      </c>
      <c r="E176" s="67" t="s">
        <v>23</v>
      </c>
      <c r="F176" s="67" t="s">
        <v>23</v>
      </c>
      <c r="G176" s="67" t="s">
        <v>23</v>
      </c>
    </row>
    <row r="177" spans="1:7" ht="16" thickBot="1" x14ac:dyDescent="0.25">
      <c r="A177" s="65" t="s">
        <v>185</v>
      </c>
      <c r="B177" s="66"/>
      <c r="C177" s="67" t="s">
        <v>23</v>
      </c>
      <c r="D177" s="67" t="s">
        <v>23</v>
      </c>
      <c r="E177" s="67" t="s">
        <v>23</v>
      </c>
      <c r="F177" s="67" t="s">
        <v>23</v>
      </c>
      <c r="G177" s="67" t="s">
        <v>23</v>
      </c>
    </row>
    <row r="178" spans="1:7" ht="16" thickBot="1" x14ac:dyDescent="0.25">
      <c r="A178" s="65" t="s">
        <v>186</v>
      </c>
      <c r="B178" s="66"/>
      <c r="C178" s="67" t="s">
        <v>23</v>
      </c>
      <c r="D178" s="67" t="s">
        <v>23</v>
      </c>
      <c r="E178" s="67" t="s">
        <v>23</v>
      </c>
      <c r="F178" s="67" t="s">
        <v>23</v>
      </c>
      <c r="G178" s="67" t="s">
        <v>23</v>
      </c>
    </row>
    <row r="179" spans="1:7" x14ac:dyDescent="0.2">
      <c r="A179" s="71" t="s">
        <v>187</v>
      </c>
      <c r="B179" s="72"/>
      <c r="C179" s="67" t="s">
        <v>23</v>
      </c>
      <c r="D179" s="67" t="s">
        <v>23</v>
      </c>
      <c r="E179" s="67" t="s">
        <v>23</v>
      </c>
      <c r="F179" s="67" t="s">
        <v>23</v>
      </c>
      <c r="G179" s="67" t="s">
        <v>23</v>
      </c>
    </row>
    <row r="180" spans="1:7" ht="16" thickBot="1" x14ac:dyDescent="0.25">
      <c r="A180" s="76" t="s">
        <v>188</v>
      </c>
      <c r="B180" s="76"/>
      <c r="C180" s="77"/>
      <c r="D180" s="77"/>
      <c r="E180" s="77"/>
      <c r="F180" s="77"/>
      <c r="G180" s="77"/>
    </row>
    <row r="181" spans="1:7" ht="16" thickBot="1" x14ac:dyDescent="0.25">
      <c r="A181" s="78" t="s">
        <v>189</v>
      </c>
      <c r="B181" s="79"/>
      <c r="C181" s="80"/>
      <c r="D181" s="80"/>
      <c r="E181" s="80"/>
      <c r="F181" s="80"/>
      <c r="G181" s="80"/>
    </row>
    <row r="182" spans="1:7" x14ac:dyDescent="0.2">
      <c r="A182" s="81" t="s">
        <v>190</v>
      </c>
      <c r="B182" s="82"/>
      <c r="C182" s="64" t="s">
        <v>191</v>
      </c>
      <c r="D182" s="64" t="s">
        <v>192</v>
      </c>
      <c r="E182" s="64" t="s">
        <v>193</v>
      </c>
      <c r="F182" s="64" t="s">
        <v>194</v>
      </c>
      <c r="G182" s="64" t="s">
        <v>195</v>
      </c>
    </row>
    <row r="183" spans="1:7" ht="16" thickBot="1" x14ac:dyDescent="0.25">
      <c r="A183" s="83"/>
      <c r="B183" s="84"/>
      <c r="C183" s="85" t="s">
        <v>196</v>
      </c>
      <c r="D183" s="85" t="s">
        <v>197</v>
      </c>
      <c r="E183" s="85" t="s">
        <v>198</v>
      </c>
      <c r="F183" s="85" t="s">
        <v>199</v>
      </c>
      <c r="G183" s="85" t="s">
        <v>200</v>
      </c>
    </row>
    <row r="184" spans="1:7" x14ac:dyDescent="0.2">
      <c r="A184" s="83"/>
      <c r="B184" s="84"/>
      <c r="C184" s="64" t="s">
        <v>191</v>
      </c>
      <c r="D184" s="64" t="s">
        <v>192</v>
      </c>
      <c r="E184" s="64" t="s">
        <v>193</v>
      </c>
      <c r="F184" s="64" t="s">
        <v>194</v>
      </c>
      <c r="G184" s="64" t="s">
        <v>195</v>
      </c>
    </row>
    <row r="185" spans="1:7" ht="16" thickBot="1" x14ac:dyDescent="0.25">
      <c r="A185" s="83"/>
      <c r="B185" s="84"/>
      <c r="C185" s="85" t="s">
        <v>201</v>
      </c>
      <c r="D185" s="85" t="s">
        <v>202</v>
      </c>
      <c r="E185" s="85" t="s">
        <v>203</v>
      </c>
      <c r="F185" s="85" t="s">
        <v>204</v>
      </c>
      <c r="G185" s="85" t="s">
        <v>205</v>
      </c>
    </row>
    <row r="186" spans="1:7" x14ac:dyDescent="0.2">
      <c r="A186" s="83"/>
      <c r="B186" s="84"/>
      <c r="C186" s="64" t="s">
        <v>191</v>
      </c>
      <c r="D186" s="64" t="s">
        <v>192</v>
      </c>
      <c r="E186" s="64" t="s">
        <v>193</v>
      </c>
      <c r="F186" s="64" t="s">
        <v>194</v>
      </c>
      <c r="G186" s="64" t="s">
        <v>195</v>
      </c>
    </row>
    <row r="187" spans="1:7" ht="16" thickBot="1" x14ac:dyDescent="0.25">
      <c r="A187" s="83"/>
      <c r="B187" s="84"/>
      <c r="C187" s="85" t="s">
        <v>206</v>
      </c>
      <c r="D187" s="85" t="s">
        <v>207</v>
      </c>
      <c r="E187" s="85" t="s">
        <v>208</v>
      </c>
      <c r="F187" s="85" t="s">
        <v>209</v>
      </c>
      <c r="G187" s="85" t="s">
        <v>209</v>
      </c>
    </row>
    <row r="188" spans="1:7" x14ac:dyDescent="0.2">
      <c r="A188" s="83"/>
      <c r="B188" s="84"/>
      <c r="C188" s="64" t="s">
        <v>210</v>
      </c>
      <c r="D188" s="64" t="s">
        <v>211</v>
      </c>
      <c r="E188" s="64" t="s">
        <v>212</v>
      </c>
      <c r="F188" s="64" t="s">
        <v>213</v>
      </c>
      <c r="G188" s="64" t="s">
        <v>214</v>
      </c>
    </row>
    <row r="189" spans="1:7" ht="16" thickBot="1" x14ac:dyDescent="0.25">
      <c r="A189" s="86"/>
      <c r="B189" s="87"/>
      <c r="C189" s="85" t="s">
        <v>215</v>
      </c>
      <c r="D189" s="85" t="s">
        <v>216</v>
      </c>
      <c r="E189" s="85" t="s">
        <v>217</v>
      </c>
      <c r="F189" s="85" t="s">
        <v>217</v>
      </c>
      <c r="G189" s="85" t="s">
        <v>218</v>
      </c>
    </row>
    <row r="190" spans="1:7" x14ac:dyDescent="0.2">
      <c r="A190" s="81" t="s">
        <v>219</v>
      </c>
      <c r="B190" s="82"/>
      <c r="C190" s="88" t="s">
        <v>23</v>
      </c>
      <c r="D190" s="64" t="s">
        <v>220</v>
      </c>
      <c r="E190" s="89" t="s">
        <v>23</v>
      </c>
      <c r="F190" s="89" t="s">
        <v>23</v>
      </c>
      <c r="G190" s="64" t="s">
        <v>220</v>
      </c>
    </row>
    <row r="191" spans="1:7" x14ac:dyDescent="0.2">
      <c r="A191" s="83"/>
      <c r="B191" s="84"/>
      <c r="C191" s="90"/>
      <c r="D191" s="85" t="s">
        <v>221</v>
      </c>
      <c r="E191" s="91"/>
      <c r="F191" s="91"/>
      <c r="G191" s="85" t="s">
        <v>222</v>
      </c>
    </row>
    <row r="192" spans="1:7" ht="16" thickBot="1" x14ac:dyDescent="0.25">
      <c r="A192" s="76" t="s">
        <v>223</v>
      </c>
      <c r="B192" s="76"/>
      <c r="C192" s="92"/>
    </row>
    <row r="193" spans="1:3" ht="16" thickBot="1" x14ac:dyDescent="0.25">
      <c r="A193" s="78" t="s">
        <v>189</v>
      </c>
      <c r="B193" s="79"/>
      <c r="C193" s="80"/>
    </row>
    <row r="194" spans="1:3" ht="16" thickBot="1" x14ac:dyDescent="0.25">
      <c r="A194" s="93">
        <v>2021</v>
      </c>
      <c r="B194" s="94" t="s">
        <v>190</v>
      </c>
      <c r="C194" s="64" t="s">
        <v>224</v>
      </c>
    </row>
    <row r="195" spans="1:3" ht="16" thickBot="1" x14ac:dyDescent="0.25">
      <c r="A195" s="93"/>
      <c r="B195" s="94"/>
      <c r="C195" s="85" t="s">
        <v>225</v>
      </c>
    </row>
    <row r="196" spans="1:3" ht="16" thickBot="1" x14ac:dyDescent="0.25">
      <c r="A196" s="93"/>
      <c r="B196" s="94"/>
      <c r="C196" s="64" t="s">
        <v>226</v>
      </c>
    </row>
    <row r="197" spans="1:3" ht="16" thickBot="1" x14ac:dyDescent="0.25">
      <c r="A197" s="93"/>
      <c r="B197" s="94"/>
      <c r="C197" s="85" t="s">
        <v>215</v>
      </c>
    </row>
    <row r="198" spans="1:3" ht="16" thickBot="1" x14ac:dyDescent="0.25">
      <c r="A198" s="93"/>
      <c r="B198" s="94" t="s">
        <v>219</v>
      </c>
      <c r="C198" s="64" t="s">
        <v>227</v>
      </c>
    </row>
    <row r="199" spans="1:3" x14ac:dyDescent="0.2">
      <c r="A199" s="93"/>
      <c r="B199" s="94"/>
      <c r="C199" s="85" t="s">
        <v>228</v>
      </c>
    </row>
  </sheetData>
  <mergeCells count="184">
    <mergeCell ref="A193:B193"/>
    <mergeCell ref="A190:B191"/>
    <mergeCell ref="C190:C191"/>
    <mergeCell ref="E190:E191"/>
    <mergeCell ref="F190:F191"/>
    <mergeCell ref="A192:B192"/>
    <mergeCell ref="A179:B179"/>
    <mergeCell ref="A180:B180"/>
    <mergeCell ref="A181:B181"/>
    <mergeCell ref="A182:B189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7:B17"/>
    <mergeCell ref="A18:B18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5"/>
  <sheetViews>
    <sheetView showGridLines="0" topLeftCell="A21" zoomScale="125" zoomScaleNormal="125" workbookViewId="0">
      <selection activeCell="A84" sqref="A84"/>
    </sheetView>
  </sheetViews>
  <sheetFormatPr baseColWidth="10" defaultColWidth="8.83203125" defaultRowHeight="15" x14ac:dyDescent="0.2"/>
  <cols>
    <col min="1" max="1" width="36.5" bestFit="1" customWidth="1"/>
    <col min="2" max="6" width="15.6640625" bestFit="1" customWidth="1"/>
  </cols>
  <sheetData>
    <row r="1" spans="1:6" x14ac:dyDescent="0.2">
      <c r="A1" s="1" t="s">
        <v>229</v>
      </c>
    </row>
    <row r="3" spans="1:6" x14ac:dyDescent="0.2">
      <c r="A3" s="2" t="s">
        <v>230</v>
      </c>
    </row>
    <row r="4" spans="1:6" ht="16" thickBot="1" x14ac:dyDescent="0.25">
      <c r="A4" s="2" t="s">
        <v>2</v>
      </c>
    </row>
    <row r="5" spans="1:6" ht="16" thickBot="1" x14ac:dyDescent="0.25">
      <c r="A5" s="14"/>
      <c r="B5" s="3">
        <v>2021</v>
      </c>
      <c r="C5" s="3">
        <v>2020</v>
      </c>
      <c r="D5" s="3">
        <v>2019</v>
      </c>
      <c r="E5" s="3">
        <v>2018</v>
      </c>
      <c r="F5" s="3">
        <v>2017</v>
      </c>
    </row>
    <row r="6" spans="1:6" ht="14.25" customHeight="1" thickBot="1" x14ac:dyDescent="0.25">
      <c r="A6" s="15" t="s">
        <v>3</v>
      </c>
      <c r="B6" s="4" t="s">
        <v>4</v>
      </c>
      <c r="C6" s="5" t="s">
        <v>5</v>
      </c>
      <c r="D6" s="4" t="s">
        <v>6</v>
      </c>
      <c r="E6" s="5" t="s">
        <v>7</v>
      </c>
      <c r="F6" s="4" t="s">
        <v>8</v>
      </c>
    </row>
    <row r="7" spans="1:6" ht="16" thickBot="1" x14ac:dyDescent="0.25">
      <c r="A7" s="1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</row>
    <row r="8" spans="1:6" x14ac:dyDescent="0.2">
      <c r="A8" s="16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19</v>
      </c>
    </row>
    <row r="9" spans="1:6" ht="12" customHeight="1" thickBot="1" x14ac:dyDescent="0.25">
      <c r="A9" s="12" t="s">
        <v>231</v>
      </c>
      <c r="B9" s="12"/>
      <c r="C9" s="12"/>
      <c r="D9" s="12"/>
      <c r="E9" s="12"/>
      <c r="F9" s="12"/>
    </row>
    <row r="10" spans="1:6" ht="16" thickBot="1" x14ac:dyDescent="0.25">
      <c r="A10" s="17" t="s">
        <v>232</v>
      </c>
      <c r="B10" s="7">
        <v>130334</v>
      </c>
      <c r="C10" s="7">
        <v>136527</v>
      </c>
      <c r="D10" s="7">
        <v>133819</v>
      </c>
      <c r="E10" s="7">
        <v>133650</v>
      </c>
      <c r="F10" s="7">
        <v>132881</v>
      </c>
    </row>
    <row r="11" spans="1:6" ht="16" thickBot="1" x14ac:dyDescent="0.25">
      <c r="A11" s="18" t="s">
        <v>233</v>
      </c>
      <c r="B11" s="8">
        <v>14224</v>
      </c>
      <c r="C11" s="8">
        <v>13576</v>
      </c>
      <c r="D11" s="8">
        <v>11356</v>
      </c>
      <c r="E11" s="8">
        <v>11946</v>
      </c>
      <c r="F11" s="8">
        <v>7663</v>
      </c>
    </row>
    <row r="12" spans="1:6" ht="16" thickBot="1" x14ac:dyDescent="0.25">
      <c r="A12" s="18" t="s">
        <v>234</v>
      </c>
      <c r="B12" s="8">
        <v>116110</v>
      </c>
      <c r="C12" s="8">
        <v>122951</v>
      </c>
      <c r="D12" s="8">
        <v>122463</v>
      </c>
      <c r="E12" s="8">
        <v>121704</v>
      </c>
      <c r="F12" s="8">
        <v>125218</v>
      </c>
    </row>
    <row r="13" spans="1:6" ht="16" thickBot="1" x14ac:dyDescent="0.25">
      <c r="A13" s="17" t="s">
        <v>235</v>
      </c>
      <c r="B13" s="7">
        <v>38043</v>
      </c>
      <c r="C13" s="7">
        <v>32011</v>
      </c>
      <c r="D13" s="7">
        <v>29524</v>
      </c>
      <c r="E13" s="7">
        <v>26481</v>
      </c>
      <c r="F13" s="7">
        <v>22431</v>
      </c>
    </row>
    <row r="14" spans="1:6" ht="16" thickBot="1" x14ac:dyDescent="0.25">
      <c r="A14" s="18" t="s">
        <v>236</v>
      </c>
      <c r="B14" s="8">
        <v>38794</v>
      </c>
      <c r="C14" s="8">
        <v>32799</v>
      </c>
      <c r="D14" s="8">
        <v>29935</v>
      </c>
      <c r="E14" s="8">
        <v>26858</v>
      </c>
      <c r="F14" s="8">
        <v>22776</v>
      </c>
    </row>
    <row r="15" spans="1:6" ht="16" thickBot="1" x14ac:dyDescent="0.25">
      <c r="A15" s="18" t="s">
        <v>237</v>
      </c>
      <c r="B15" s="8">
        <v>-751</v>
      </c>
      <c r="C15" s="8">
        <v>-788</v>
      </c>
      <c r="D15" s="8">
        <v>-411</v>
      </c>
      <c r="E15" s="8">
        <v>-377</v>
      </c>
      <c r="F15" s="8">
        <v>-345</v>
      </c>
    </row>
    <row r="16" spans="1:6" ht="16" thickBot="1" x14ac:dyDescent="0.25">
      <c r="A16" s="19" t="s">
        <v>238</v>
      </c>
      <c r="B16" s="9">
        <v>38043</v>
      </c>
      <c r="C16" s="9">
        <v>32011</v>
      </c>
      <c r="D16" s="9">
        <v>29524</v>
      </c>
      <c r="E16" s="9">
        <v>26481</v>
      </c>
      <c r="F16" s="9">
        <v>22431</v>
      </c>
    </row>
    <row r="17" spans="1:6" ht="16" thickBot="1" x14ac:dyDescent="0.25">
      <c r="A17" s="17" t="s">
        <v>239</v>
      </c>
      <c r="B17" s="7">
        <v>2636</v>
      </c>
      <c r="C17" s="7">
        <v>1895</v>
      </c>
      <c r="D17" s="7">
        <v>2063</v>
      </c>
      <c r="E17" s="7">
        <v>2662</v>
      </c>
      <c r="F17" s="7">
        <v>2181</v>
      </c>
    </row>
    <row r="18" spans="1:6" ht="16" thickBot="1" x14ac:dyDescent="0.25">
      <c r="A18" s="18" t="s">
        <v>240</v>
      </c>
      <c r="B18" s="8">
        <v>1367</v>
      </c>
      <c r="C18" s="8">
        <v>1112</v>
      </c>
      <c r="D18" s="8">
        <v>1611</v>
      </c>
      <c r="E18" s="8">
        <v>1953</v>
      </c>
      <c r="F18" s="8">
        <v>1239</v>
      </c>
    </row>
    <row r="19" spans="1:6" ht="16" thickBot="1" x14ac:dyDescent="0.25">
      <c r="A19" s="18" t="s">
        <v>241</v>
      </c>
      <c r="B19" s="8">
        <v>79</v>
      </c>
      <c r="C19" s="8">
        <v>83</v>
      </c>
      <c r="D19" s="8">
        <v>53</v>
      </c>
      <c r="E19" s="8">
        <v>54</v>
      </c>
      <c r="F19" s="8">
        <v>145</v>
      </c>
    </row>
    <row r="20" spans="1:6" ht="16" thickBot="1" x14ac:dyDescent="0.25">
      <c r="A20" s="18" t="s">
        <v>242</v>
      </c>
      <c r="B20" s="8">
        <v>1190</v>
      </c>
      <c r="C20" s="8">
        <v>700</v>
      </c>
      <c r="D20" s="8">
        <v>399</v>
      </c>
      <c r="E20" s="8">
        <v>655</v>
      </c>
      <c r="F20" s="8">
        <v>797</v>
      </c>
    </row>
    <row r="21" spans="1:6" ht="16" thickBot="1" x14ac:dyDescent="0.25">
      <c r="A21" s="19" t="s">
        <v>243</v>
      </c>
      <c r="B21" s="9" t="s">
        <v>23</v>
      </c>
      <c r="C21" s="9" t="s">
        <v>23</v>
      </c>
      <c r="D21" s="9" t="s">
        <v>23</v>
      </c>
      <c r="E21" s="9" t="s">
        <v>23</v>
      </c>
      <c r="F21" s="9" t="s">
        <v>23</v>
      </c>
    </row>
    <row r="22" spans="1:6" ht="16" thickBot="1" x14ac:dyDescent="0.25">
      <c r="A22" s="17" t="s">
        <v>244</v>
      </c>
      <c r="B22" s="7">
        <v>13393</v>
      </c>
      <c r="C22" s="7">
        <v>11482</v>
      </c>
      <c r="D22" s="7">
        <v>10146</v>
      </c>
      <c r="E22" s="7">
        <v>6869</v>
      </c>
      <c r="F22" s="7">
        <v>5203</v>
      </c>
    </row>
    <row r="23" spans="1:6" ht="16" thickBot="1" x14ac:dyDescent="0.25">
      <c r="A23" s="18" t="s">
        <v>245</v>
      </c>
      <c r="B23" s="8">
        <v>13393</v>
      </c>
      <c r="C23" s="8">
        <v>11482</v>
      </c>
      <c r="D23" s="8">
        <v>10146</v>
      </c>
      <c r="E23" s="8">
        <v>6869</v>
      </c>
      <c r="F23" s="8">
        <v>5203</v>
      </c>
    </row>
    <row r="24" spans="1:6" ht="16" thickBot="1" x14ac:dyDescent="0.25">
      <c r="A24" s="19" t="s">
        <v>246</v>
      </c>
      <c r="B24" s="9">
        <v>184406</v>
      </c>
      <c r="C24" s="9">
        <v>181915</v>
      </c>
      <c r="D24" s="9">
        <v>175552</v>
      </c>
      <c r="E24" s="9">
        <v>169662</v>
      </c>
      <c r="F24" s="9">
        <v>162696</v>
      </c>
    </row>
    <row r="25" spans="1:6" ht="16" thickBot="1" x14ac:dyDescent="0.25">
      <c r="A25" s="10"/>
      <c r="B25" s="10"/>
      <c r="C25" s="10"/>
      <c r="D25" s="10"/>
      <c r="E25" s="10"/>
      <c r="F25" s="10"/>
    </row>
    <row r="26" spans="1:6" ht="16" thickBot="1" x14ac:dyDescent="0.25">
      <c r="A26" s="17" t="s">
        <v>247</v>
      </c>
      <c r="B26" s="7">
        <v>122154</v>
      </c>
      <c r="C26" s="7">
        <v>96101</v>
      </c>
      <c r="D26" s="7">
        <v>79186</v>
      </c>
      <c r="E26" s="7">
        <v>65369</v>
      </c>
      <c r="F26" s="7">
        <v>54468</v>
      </c>
    </row>
    <row r="27" spans="1:6" ht="16" thickBot="1" x14ac:dyDescent="0.25">
      <c r="A27" s="18" t="s">
        <v>248</v>
      </c>
      <c r="B27" s="8">
        <v>50812</v>
      </c>
      <c r="C27" s="8">
        <v>39482</v>
      </c>
      <c r="D27" s="8">
        <v>31604</v>
      </c>
      <c r="E27" s="8">
        <v>25339</v>
      </c>
      <c r="F27" s="8">
        <v>21348</v>
      </c>
    </row>
    <row r="28" spans="1:6" ht="16" thickBot="1" x14ac:dyDescent="0.25">
      <c r="A28" s="18" t="s">
        <v>249</v>
      </c>
      <c r="B28" s="8">
        <v>3660</v>
      </c>
      <c r="C28" s="8">
        <v>1823</v>
      </c>
      <c r="D28" s="8">
        <v>1540</v>
      </c>
      <c r="E28" s="8">
        <v>1254</v>
      </c>
      <c r="F28" s="8">
        <v>1107</v>
      </c>
    </row>
    <row r="29" spans="1:6" ht="16" thickBot="1" x14ac:dyDescent="0.25">
      <c r="A29" s="18" t="s">
        <v>250</v>
      </c>
      <c r="B29" s="8">
        <v>51250</v>
      </c>
      <c r="C29" s="8">
        <v>41261</v>
      </c>
      <c r="D29" s="8">
        <v>33823</v>
      </c>
      <c r="E29" s="8">
        <v>27633</v>
      </c>
      <c r="F29" s="8">
        <v>21414</v>
      </c>
    </row>
    <row r="30" spans="1:6" ht="16" thickBot="1" x14ac:dyDescent="0.25">
      <c r="A30" s="18" t="s">
        <v>251</v>
      </c>
      <c r="B30" s="8">
        <v>16432</v>
      </c>
      <c r="C30" s="8">
        <v>13535</v>
      </c>
      <c r="D30" s="8">
        <v>12219</v>
      </c>
      <c r="E30" s="8">
        <v>11143</v>
      </c>
      <c r="F30" s="8">
        <v>10599</v>
      </c>
    </row>
    <row r="31" spans="1:6" ht="16" thickBot="1" x14ac:dyDescent="0.25">
      <c r="A31" s="17" t="s">
        <v>252</v>
      </c>
      <c r="B31" s="7">
        <v>70803</v>
      </c>
      <c r="C31" s="7">
        <v>52904</v>
      </c>
      <c r="D31" s="7">
        <v>43856</v>
      </c>
      <c r="E31" s="7">
        <v>36146</v>
      </c>
      <c r="F31" s="7">
        <v>30289</v>
      </c>
    </row>
    <row r="32" spans="1:6" ht="16" thickBot="1" x14ac:dyDescent="0.25">
      <c r="A32" s="18" t="s">
        <v>253</v>
      </c>
      <c r="B32" s="8">
        <v>-51351</v>
      </c>
      <c r="C32" s="8">
        <v>-43197</v>
      </c>
      <c r="D32" s="8">
        <v>-35330</v>
      </c>
      <c r="E32" s="8">
        <v>-29223</v>
      </c>
      <c r="F32" s="8">
        <v>-24179</v>
      </c>
    </row>
    <row r="33" spans="1:6" ht="16" thickBot="1" x14ac:dyDescent="0.25">
      <c r="A33" s="19" t="s">
        <v>254</v>
      </c>
      <c r="B33" s="9">
        <v>49711</v>
      </c>
      <c r="C33" s="9">
        <v>43351</v>
      </c>
      <c r="D33" s="9">
        <v>42026</v>
      </c>
      <c r="E33" s="9">
        <v>35683</v>
      </c>
      <c r="F33" s="9">
        <v>35122</v>
      </c>
    </row>
    <row r="34" spans="1:6" ht="16" thickBot="1" x14ac:dyDescent="0.25">
      <c r="A34" s="17" t="s">
        <v>255</v>
      </c>
      <c r="B34" s="7">
        <v>7800</v>
      </c>
      <c r="C34" s="7">
        <v>7038</v>
      </c>
      <c r="D34" s="7">
        <v>7750</v>
      </c>
      <c r="E34" s="7">
        <v>8053</v>
      </c>
      <c r="F34" s="7">
        <v>10106</v>
      </c>
    </row>
    <row r="35" spans="1:6" ht="16" thickBot="1" x14ac:dyDescent="0.25">
      <c r="A35" s="18" t="s">
        <v>256</v>
      </c>
      <c r="B35" s="8">
        <v>19975</v>
      </c>
      <c r="C35" s="8">
        <v>17759</v>
      </c>
      <c r="D35" s="8">
        <v>17139</v>
      </c>
      <c r="E35" s="8">
        <v>15936</v>
      </c>
      <c r="F35" s="8">
        <v>16667</v>
      </c>
    </row>
    <row r="36" spans="1:6" ht="16" thickBot="1" x14ac:dyDescent="0.25">
      <c r="A36" s="18" t="s">
        <v>257</v>
      </c>
      <c r="B36" s="8">
        <v>-12175</v>
      </c>
      <c r="C36" s="8">
        <v>-10721</v>
      </c>
      <c r="D36" s="8">
        <v>-9389</v>
      </c>
      <c r="E36" s="8">
        <v>-7883</v>
      </c>
      <c r="F36" s="8">
        <v>-6561</v>
      </c>
    </row>
    <row r="37" spans="1:6" ht="16" thickBot="1" x14ac:dyDescent="0.25">
      <c r="A37" s="17" t="s">
        <v>258</v>
      </c>
      <c r="B37" s="7">
        <v>5984</v>
      </c>
      <c r="C37" s="7">
        <v>2965</v>
      </c>
      <c r="D37" s="7">
        <v>2649</v>
      </c>
      <c r="E37" s="7">
        <v>1862</v>
      </c>
      <c r="F37" s="7">
        <v>5956</v>
      </c>
    </row>
    <row r="38" spans="1:6" ht="16" thickBot="1" x14ac:dyDescent="0.25">
      <c r="A38" s="18" t="s">
        <v>259</v>
      </c>
      <c r="B38" s="8">
        <v>5984</v>
      </c>
      <c r="C38" s="8">
        <v>2965</v>
      </c>
      <c r="D38" s="8">
        <v>2649</v>
      </c>
      <c r="E38" s="8">
        <v>1862</v>
      </c>
      <c r="F38" s="8">
        <v>5956</v>
      </c>
    </row>
    <row r="39" spans="1:6" ht="16" thickBot="1" x14ac:dyDescent="0.25">
      <c r="A39" s="19" t="s">
        <v>260</v>
      </c>
      <c r="B39" s="9">
        <v>3400</v>
      </c>
      <c r="C39" s="9">
        <v>2700</v>
      </c>
      <c r="D39" s="9">
        <v>2200</v>
      </c>
      <c r="E39" s="9">
        <v>1800</v>
      </c>
      <c r="F39" s="9">
        <v>1700</v>
      </c>
    </row>
    <row r="40" spans="1:6" ht="16" thickBot="1" x14ac:dyDescent="0.25">
      <c r="A40" s="17" t="s">
        <v>261</v>
      </c>
      <c r="B40" s="7">
        <v>11675</v>
      </c>
      <c r="C40" s="7">
        <v>10438</v>
      </c>
      <c r="D40" s="7">
        <v>12523</v>
      </c>
      <c r="E40" s="7">
        <v>5642</v>
      </c>
      <c r="F40" s="7">
        <v>4443</v>
      </c>
    </row>
    <row r="41" spans="1:6" ht="16" thickBot="1" x14ac:dyDescent="0.25">
      <c r="A41" s="18" t="s">
        <v>262</v>
      </c>
      <c r="B41" s="8">
        <v>7181</v>
      </c>
      <c r="C41" s="8">
        <v>6405</v>
      </c>
      <c r="D41" s="8">
        <v>7536</v>
      </c>
      <c r="E41" s="8">
        <v>1369</v>
      </c>
      <c r="F41" s="8">
        <v>248</v>
      </c>
    </row>
    <row r="42" spans="1:6" ht="16" thickBot="1" x14ac:dyDescent="0.25">
      <c r="A42" s="18" t="s">
        <v>263</v>
      </c>
      <c r="B42" s="8">
        <v>4494</v>
      </c>
      <c r="C42" s="8">
        <v>4033</v>
      </c>
      <c r="D42" s="8">
        <v>4987</v>
      </c>
      <c r="E42" s="8">
        <v>4273</v>
      </c>
      <c r="F42" s="8">
        <v>4195</v>
      </c>
    </row>
    <row r="43" spans="1:6" ht="16" thickBot="1" x14ac:dyDescent="0.25">
      <c r="A43" s="19" t="s">
        <v>264</v>
      </c>
      <c r="B43" s="9">
        <v>333779</v>
      </c>
      <c r="C43" s="9">
        <v>301311</v>
      </c>
      <c r="D43" s="9">
        <v>286556</v>
      </c>
      <c r="E43" s="9">
        <v>258848</v>
      </c>
      <c r="F43" s="9">
        <v>250312</v>
      </c>
    </row>
    <row r="44" spans="1:6" x14ac:dyDescent="0.2">
      <c r="A44" s="10"/>
      <c r="B44" s="10"/>
      <c r="C44" s="10"/>
      <c r="D44" s="10"/>
      <c r="E44" s="10"/>
      <c r="F44" s="10"/>
    </row>
    <row r="45" spans="1:6" ht="12" customHeight="1" thickBot="1" x14ac:dyDescent="0.25">
      <c r="A45" s="12" t="s">
        <v>265</v>
      </c>
      <c r="B45" s="12"/>
      <c r="C45" s="12"/>
      <c r="D45" s="12"/>
      <c r="E45" s="12"/>
      <c r="F45" s="12"/>
    </row>
    <row r="46" spans="1:6" ht="16" thickBot="1" x14ac:dyDescent="0.25">
      <c r="A46" s="19" t="s">
        <v>266</v>
      </c>
      <c r="B46" s="9">
        <v>15163</v>
      </c>
      <c r="C46" s="9">
        <v>12530</v>
      </c>
      <c r="D46" s="9">
        <v>9382</v>
      </c>
      <c r="E46" s="9">
        <v>8617</v>
      </c>
      <c r="F46" s="9">
        <v>7390</v>
      </c>
    </row>
    <row r="47" spans="1:6" ht="16" thickBot="1" x14ac:dyDescent="0.25">
      <c r="A47" s="19" t="s">
        <v>267</v>
      </c>
      <c r="B47" s="9" t="s">
        <v>23</v>
      </c>
      <c r="C47" s="9" t="s">
        <v>23</v>
      </c>
      <c r="D47" s="9" t="s">
        <v>23</v>
      </c>
      <c r="E47" s="9" t="s">
        <v>23</v>
      </c>
      <c r="F47" s="9" t="s">
        <v>23</v>
      </c>
    </row>
    <row r="48" spans="1:6" ht="16" thickBot="1" x14ac:dyDescent="0.25">
      <c r="A48" s="19" t="s">
        <v>268</v>
      </c>
      <c r="B48" s="9">
        <v>12019</v>
      </c>
      <c r="C48" s="9">
        <v>9490</v>
      </c>
      <c r="D48" s="9">
        <v>8345</v>
      </c>
      <c r="E48" s="9">
        <v>7502</v>
      </c>
      <c r="F48" s="9">
        <v>5819</v>
      </c>
    </row>
    <row r="49" spans="1:6" ht="16" thickBot="1" x14ac:dyDescent="0.25">
      <c r="A49" s="19" t="s">
        <v>269</v>
      </c>
      <c r="B49" s="9">
        <v>0</v>
      </c>
      <c r="C49" s="9">
        <v>0</v>
      </c>
      <c r="D49" s="9">
        <v>0</v>
      </c>
      <c r="E49" s="9">
        <v>0</v>
      </c>
      <c r="F49" s="9">
        <v>9072</v>
      </c>
    </row>
    <row r="50" spans="1:6" ht="16" thickBot="1" x14ac:dyDescent="0.25">
      <c r="A50" s="19" t="s">
        <v>270</v>
      </c>
      <c r="B50" s="9">
        <v>8863</v>
      </c>
      <c r="C50" s="9">
        <v>4289</v>
      </c>
      <c r="D50" s="9">
        <v>5833</v>
      </c>
      <c r="E50" s="9">
        <v>4174</v>
      </c>
      <c r="F50" s="9">
        <v>1162</v>
      </c>
    </row>
    <row r="51" spans="1:6" ht="16" thickBot="1" x14ac:dyDescent="0.25">
      <c r="A51" s="17" t="s">
        <v>271</v>
      </c>
      <c r="B51" s="7">
        <v>52612</v>
      </c>
      <c r="C51" s="7">
        <v>46001</v>
      </c>
      <c r="D51" s="7">
        <v>45860</v>
      </c>
      <c r="E51" s="7">
        <v>38195</v>
      </c>
      <c r="F51" s="7">
        <v>32302</v>
      </c>
    </row>
    <row r="52" spans="1:6" ht="16" thickBot="1" x14ac:dyDescent="0.25">
      <c r="A52" s="18" t="s">
        <v>272</v>
      </c>
      <c r="B52" s="8">
        <v>41525</v>
      </c>
      <c r="C52" s="8">
        <v>36000</v>
      </c>
      <c r="D52" s="8">
        <v>32676</v>
      </c>
      <c r="E52" s="8">
        <v>28905</v>
      </c>
      <c r="F52" s="8">
        <v>24013</v>
      </c>
    </row>
    <row r="53" spans="1:6" ht="16" thickBot="1" x14ac:dyDescent="0.25">
      <c r="A53" s="18" t="s">
        <v>273</v>
      </c>
      <c r="B53" s="8">
        <v>2174</v>
      </c>
      <c r="C53" s="8">
        <v>2130</v>
      </c>
      <c r="D53" s="8">
        <v>5665</v>
      </c>
      <c r="E53" s="8">
        <v>2121</v>
      </c>
      <c r="F53" s="8">
        <v>718</v>
      </c>
    </row>
    <row r="54" spans="1:6" ht="16" thickBot="1" x14ac:dyDescent="0.25">
      <c r="A54" s="18" t="s">
        <v>274</v>
      </c>
      <c r="B54" s="8" t="s">
        <v>23</v>
      </c>
      <c r="C54" s="8" t="s">
        <v>23</v>
      </c>
      <c r="D54" s="8" t="s">
        <v>23</v>
      </c>
      <c r="E54" s="8" t="s">
        <v>23</v>
      </c>
      <c r="F54" s="8" t="s">
        <v>23</v>
      </c>
    </row>
    <row r="55" spans="1:6" ht="16" thickBot="1" x14ac:dyDescent="0.25">
      <c r="A55" s="18" t="s">
        <v>275</v>
      </c>
      <c r="B55" s="8">
        <v>8913</v>
      </c>
      <c r="C55" s="8">
        <v>7871</v>
      </c>
      <c r="D55" s="8">
        <v>7519</v>
      </c>
      <c r="E55" s="8">
        <v>7169</v>
      </c>
      <c r="F55" s="8">
        <v>7571</v>
      </c>
    </row>
    <row r="56" spans="1:6" ht="16" thickBot="1" x14ac:dyDescent="0.25">
      <c r="A56" s="19" t="s">
        <v>276</v>
      </c>
      <c r="B56" s="9">
        <v>88657</v>
      </c>
      <c r="C56" s="9">
        <v>72310</v>
      </c>
      <c r="D56" s="9">
        <v>69420</v>
      </c>
      <c r="E56" s="9">
        <v>58488</v>
      </c>
      <c r="F56" s="9">
        <v>55745</v>
      </c>
    </row>
    <row r="57" spans="1:6" ht="16" thickBot="1" x14ac:dyDescent="0.25">
      <c r="A57" s="10"/>
      <c r="B57" s="10"/>
      <c r="C57" s="10"/>
      <c r="D57" s="10"/>
      <c r="E57" s="10"/>
      <c r="F57" s="10"/>
    </row>
    <row r="58" spans="1:6" ht="16" thickBot="1" x14ac:dyDescent="0.25">
      <c r="A58" s="17" t="s">
        <v>277</v>
      </c>
      <c r="B58" s="7">
        <v>61824</v>
      </c>
      <c r="C58" s="7">
        <v>68534</v>
      </c>
      <c r="D58" s="7">
        <v>72919</v>
      </c>
      <c r="E58" s="7">
        <v>76367</v>
      </c>
      <c r="F58" s="7">
        <v>78498</v>
      </c>
    </row>
    <row r="59" spans="1:6" ht="16" thickBot="1" x14ac:dyDescent="0.25">
      <c r="A59" s="18" t="s">
        <v>278</v>
      </c>
      <c r="B59" s="8">
        <v>50074</v>
      </c>
      <c r="C59" s="8">
        <v>59578</v>
      </c>
      <c r="D59" s="8">
        <v>66662</v>
      </c>
      <c r="E59" s="8">
        <v>72242</v>
      </c>
      <c r="F59" s="8">
        <v>76073</v>
      </c>
    </row>
    <row r="60" spans="1:6" ht="16" thickBot="1" x14ac:dyDescent="0.25">
      <c r="A60" s="18" t="s">
        <v>279</v>
      </c>
      <c r="B60" s="8">
        <v>11750</v>
      </c>
      <c r="C60" s="8">
        <v>8956</v>
      </c>
      <c r="D60" s="8">
        <v>6257</v>
      </c>
      <c r="E60" s="8">
        <v>4125</v>
      </c>
      <c r="F60" s="8">
        <v>2425</v>
      </c>
    </row>
    <row r="61" spans="1:6" ht="16" thickBot="1" x14ac:dyDescent="0.25">
      <c r="A61" s="19" t="s">
        <v>280</v>
      </c>
      <c r="B61" s="9">
        <v>70687</v>
      </c>
      <c r="C61" s="9">
        <v>72823</v>
      </c>
      <c r="D61" s="9">
        <v>78752</v>
      </c>
      <c r="E61" s="9">
        <v>80541</v>
      </c>
      <c r="F61" s="9">
        <v>88732</v>
      </c>
    </row>
    <row r="62" spans="1:6" ht="16" thickBot="1" x14ac:dyDescent="0.25">
      <c r="A62" s="17" t="s">
        <v>281</v>
      </c>
      <c r="B62" s="7">
        <v>198</v>
      </c>
      <c r="C62" s="7">
        <v>204</v>
      </c>
      <c r="D62" s="7">
        <v>233</v>
      </c>
      <c r="E62" s="7">
        <v>541</v>
      </c>
      <c r="F62" s="7">
        <v>5734</v>
      </c>
    </row>
    <row r="63" spans="1:6" ht="16" thickBot="1" x14ac:dyDescent="0.25">
      <c r="A63" s="18" t="s">
        <v>282</v>
      </c>
      <c r="B63" s="8">
        <v>198</v>
      </c>
      <c r="C63" s="8">
        <v>204</v>
      </c>
      <c r="D63" s="8">
        <v>233</v>
      </c>
      <c r="E63" s="8">
        <v>541</v>
      </c>
      <c r="F63" s="8">
        <v>5734</v>
      </c>
    </row>
    <row r="64" spans="1:6" ht="16" thickBot="1" x14ac:dyDescent="0.25">
      <c r="A64" s="19" t="s">
        <v>56</v>
      </c>
      <c r="B64" s="9" t="s">
        <v>23</v>
      </c>
      <c r="C64" s="9" t="s">
        <v>23</v>
      </c>
      <c r="D64" s="9" t="s">
        <v>23</v>
      </c>
      <c r="E64" s="9" t="s">
        <v>23</v>
      </c>
      <c r="F64" s="9" t="s">
        <v>23</v>
      </c>
    </row>
    <row r="65" spans="1:6" ht="16" thickBot="1" x14ac:dyDescent="0.25">
      <c r="A65" s="17" t="s">
        <v>283</v>
      </c>
      <c r="B65" s="7">
        <v>41112</v>
      </c>
      <c r="C65" s="7">
        <v>41959</v>
      </c>
      <c r="D65" s="7">
        <v>41654</v>
      </c>
      <c r="E65" s="7">
        <v>40734</v>
      </c>
      <c r="F65" s="7">
        <v>22624</v>
      </c>
    </row>
    <row r="66" spans="1:6" ht="16" thickBot="1" x14ac:dyDescent="0.25">
      <c r="A66" s="18" t="s">
        <v>284</v>
      </c>
      <c r="B66" s="8">
        <v>41112</v>
      </c>
      <c r="C66" s="8">
        <v>41959</v>
      </c>
      <c r="D66" s="8">
        <v>41654</v>
      </c>
      <c r="E66" s="8">
        <v>40734</v>
      </c>
      <c r="F66" s="8">
        <v>22624</v>
      </c>
    </row>
    <row r="67" spans="1:6" ht="16" thickBot="1" x14ac:dyDescent="0.25">
      <c r="A67" s="19" t="s">
        <v>285</v>
      </c>
      <c r="B67" s="9">
        <v>191791</v>
      </c>
      <c r="C67" s="9">
        <v>183007</v>
      </c>
      <c r="D67" s="9">
        <v>184226</v>
      </c>
      <c r="E67" s="9">
        <v>176130</v>
      </c>
      <c r="F67" s="9">
        <v>162601</v>
      </c>
    </row>
    <row r="68" spans="1:6" x14ac:dyDescent="0.2">
      <c r="A68" s="10"/>
      <c r="B68" s="10"/>
      <c r="C68" s="10"/>
      <c r="D68" s="10"/>
      <c r="E68" s="10"/>
      <c r="F68" s="10"/>
    </row>
    <row r="69" spans="1:6" ht="12" customHeight="1" thickBot="1" x14ac:dyDescent="0.25">
      <c r="A69" s="12" t="s">
        <v>286</v>
      </c>
      <c r="B69" s="12"/>
      <c r="C69" s="12"/>
      <c r="D69" s="12"/>
      <c r="E69" s="12"/>
      <c r="F69" s="12"/>
    </row>
    <row r="70" spans="1:6" ht="16" thickBot="1" x14ac:dyDescent="0.25">
      <c r="A70" s="19" t="s">
        <v>287</v>
      </c>
      <c r="B70" s="9" t="s">
        <v>23</v>
      </c>
      <c r="C70" s="9" t="s">
        <v>23</v>
      </c>
      <c r="D70" s="9" t="s">
        <v>23</v>
      </c>
      <c r="E70" s="9" t="s">
        <v>23</v>
      </c>
      <c r="F70" s="9" t="s">
        <v>23</v>
      </c>
    </row>
    <row r="71" spans="1:6" ht="16" thickBot="1" x14ac:dyDescent="0.25">
      <c r="A71" s="19" t="s">
        <v>288</v>
      </c>
      <c r="B71" s="9" t="s">
        <v>23</v>
      </c>
      <c r="C71" s="9" t="s">
        <v>23</v>
      </c>
      <c r="D71" s="9" t="s">
        <v>23</v>
      </c>
      <c r="E71" s="9" t="s">
        <v>23</v>
      </c>
      <c r="F71" s="9" t="s">
        <v>23</v>
      </c>
    </row>
    <row r="72" spans="1:6" ht="16" thickBot="1" x14ac:dyDescent="0.25">
      <c r="A72" s="17" t="s">
        <v>289</v>
      </c>
      <c r="B72" s="7">
        <v>46994</v>
      </c>
      <c r="C72" s="7">
        <v>47319</v>
      </c>
      <c r="D72" s="7">
        <v>49680</v>
      </c>
      <c r="E72" s="7">
        <v>47981</v>
      </c>
      <c r="F72" s="7">
        <v>48175</v>
      </c>
    </row>
    <row r="73" spans="1:6" ht="16" thickBot="1" x14ac:dyDescent="0.25">
      <c r="A73" s="18" t="s">
        <v>290</v>
      </c>
      <c r="B73" s="8">
        <v>46994</v>
      </c>
      <c r="C73" s="8">
        <v>47319</v>
      </c>
      <c r="D73" s="8">
        <v>49680</v>
      </c>
      <c r="E73" s="8">
        <v>47981</v>
      </c>
      <c r="F73" s="8">
        <v>48175</v>
      </c>
    </row>
    <row r="74" spans="1:6" ht="16" thickBot="1" x14ac:dyDescent="0.25">
      <c r="A74" s="19" t="s">
        <v>291</v>
      </c>
      <c r="B74" s="9">
        <v>36117</v>
      </c>
      <c r="C74" s="9">
        <v>33233</v>
      </c>
      <c r="D74" s="9">
        <v>28841</v>
      </c>
      <c r="E74" s="9">
        <v>23242</v>
      </c>
      <c r="F74" s="9">
        <v>21140</v>
      </c>
    </row>
    <row r="75" spans="1:6" ht="16" thickBot="1" x14ac:dyDescent="0.25">
      <c r="A75" s="19" t="s">
        <v>292</v>
      </c>
      <c r="B75" s="9">
        <v>57055</v>
      </c>
      <c r="C75" s="9">
        <v>34566</v>
      </c>
      <c r="D75" s="9">
        <v>24150</v>
      </c>
      <c r="E75" s="9">
        <v>13682</v>
      </c>
      <c r="F75" s="9">
        <v>17769</v>
      </c>
    </row>
    <row r="76" spans="1:6" ht="16" thickBot="1" x14ac:dyDescent="0.25">
      <c r="A76" s="19" t="s">
        <v>293</v>
      </c>
      <c r="B76" s="9" t="s">
        <v>23</v>
      </c>
      <c r="C76" s="9" t="s">
        <v>23</v>
      </c>
      <c r="D76" s="9" t="s">
        <v>23</v>
      </c>
      <c r="E76" s="9" t="s">
        <v>23</v>
      </c>
      <c r="F76" s="9" t="s">
        <v>23</v>
      </c>
    </row>
    <row r="77" spans="1:6" ht="16" thickBot="1" x14ac:dyDescent="0.25">
      <c r="A77" s="19" t="s">
        <v>294</v>
      </c>
      <c r="B77" s="9" t="s">
        <v>23</v>
      </c>
      <c r="C77" s="9" t="s">
        <v>23</v>
      </c>
      <c r="D77" s="9" t="s">
        <v>23</v>
      </c>
      <c r="E77" s="9" t="s">
        <v>23</v>
      </c>
      <c r="F77" s="9" t="s">
        <v>23</v>
      </c>
    </row>
    <row r="78" spans="1:6" ht="16" thickBot="1" x14ac:dyDescent="0.25">
      <c r="A78" s="19" t="s">
        <v>295</v>
      </c>
      <c r="B78" s="9">
        <v>3222</v>
      </c>
      <c r="C78" s="9">
        <v>5478</v>
      </c>
      <c r="D78" s="9">
        <v>1488</v>
      </c>
      <c r="E78" s="9">
        <v>-892</v>
      </c>
      <c r="F78" s="9">
        <v>1825</v>
      </c>
    </row>
    <row r="79" spans="1:6" ht="16" thickBot="1" x14ac:dyDescent="0.25">
      <c r="A79" s="17" t="s">
        <v>296</v>
      </c>
      <c r="B79" s="7">
        <v>-1400</v>
      </c>
      <c r="C79" s="7">
        <v>-2292</v>
      </c>
      <c r="D79" s="7">
        <v>-1828</v>
      </c>
      <c r="E79" s="7">
        <v>-1295</v>
      </c>
      <c r="F79" s="7">
        <v>-1198</v>
      </c>
    </row>
    <row r="80" spans="1:6" ht="16" thickBot="1" x14ac:dyDescent="0.25">
      <c r="A80" s="18" t="s">
        <v>297</v>
      </c>
      <c r="B80" s="8">
        <v>-1381</v>
      </c>
      <c r="C80" s="8">
        <v>-2254</v>
      </c>
      <c r="D80" s="8">
        <v>-1828</v>
      </c>
      <c r="E80" s="8">
        <v>-1510</v>
      </c>
      <c r="F80" s="8">
        <v>-1332</v>
      </c>
    </row>
    <row r="81" spans="1:6" ht="16" thickBot="1" x14ac:dyDescent="0.25">
      <c r="A81" s="18" t="s">
        <v>298</v>
      </c>
      <c r="B81" s="8">
        <v>-19</v>
      </c>
      <c r="C81" s="8">
        <v>-38</v>
      </c>
      <c r="D81" s="8">
        <v>0</v>
      </c>
      <c r="E81" s="8">
        <v>215</v>
      </c>
      <c r="F81" s="8">
        <v>134</v>
      </c>
    </row>
    <row r="82" spans="1:6" ht="16" thickBot="1" x14ac:dyDescent="0.25">
      <c r="A82" s="19" t="s">
        <v>299</v>
      </c>
      <c r="B82" s="9">
        <v>141988</v>
      </c>
      <c r="C82" s="9">
        <v>118304</v>
      </c>
      <c r="D82" s="9">
        <v>102330</v>
      </c>
      <c r="E82" s="9">
        <v>82718</v>
      </c>
      <c r="F82" s="9">
        <v>87711</v>
      </c>
    </row>
    <row r="83" spans="1:6" ht="16" thickBot="1" x14ac:dyDescent="0.25">
      <c r="A83" s="10"/>
      <c r="B83" s="10"/>
      <c r="C83" s="10"/>
      <c r="D83" s="10"/>
      <c r="E83" s="10"/>
      <c r="F83" s="10"/>
    </row>
    <row r="84" spans="1:6" ht="16" thickBot="1" x14ac:dyDescent="0.25">
      <c r="A84" s="19" t="s">
        <v>300</v>
      </c>
      <c r="B84" s="9">
        <v>333779</v>
      </c>
      <c r="C84" s="9">
        <v>301311</v>
      </c>
      <c r="D84" s="9">
        <v>286556</v>
      </c>
      <c r="E84" s="9">
        <v>258848</v>
      </c>
      <c r="F84" s="9">
        <v>250312</v>
      </c>
    </row>
    <row r="85" spans="1:6" x14ac:dyDescent="0.2">
      <c r="A85" s="10"/>
      <c r="B85" s="10"/>
      <c r="C85" s="10"/>
      <c r="D85" s="10"/>
      <c r="E85" s="10"/>
      <c r="F85" s="10"/>
    </row>
    <row r="86" spans="1:6" ht="12" customHeight="1" thickBot="1" x14ac:dyDescent="0.25">
      <c r="A86" s="12" t="s">
        <v>82</v>
      </c>
      <c r="B86" s="12"/>
      <c r="C86" s="12"/>
      <c r="D86" s="12"/>
      <c r="E86" s="12"/>
      <c r="F86" s="12"/>
    </row>
    <row r="87" spans="1:6" ht="16" thickBot="1" x14ac:dyDescent="0.25">
      <c r="A87" s="19" t="s">
        <v>301</v>
      </c>
      <c r="B87" s="9" t="s">
        <v>23</v>
      </c>
      <c r="C87" s="9" t="s">
        <v>23</v>
      </c>
      <c r="D87" s="9" t="s">
        <v>23</v>
      </c>
      <c r="E87" s="9" t="s">
        <v>23</v>
      </c>
      <c r="F87" s="9" t="s">
        <v>23</v>
      </c>
    </row>
    <row r="88" spans="1:6" ht="16" thickBot="1" x14ac:dyDescent="0.25">
      <c r="A88" s="19" t="s">
        <v>302</v>
      </c>
      <c r="B88" s="9" t="s">
        <v>23</v>
      </c>
      <c r="C88" s="9" t="s">
        <v>23</v>
      </c>
      <c r="D88" s="9" t="s">
        <v>23</v>
      </c>
      <c r="E88" s="9" t="s">
        <v>23</v>
      </c>
      <c r="F88" s="9" t="s">
        <v>23</v>
      </c>
    </row>
    <row r="89" spans="1:6" ht="16" thickBot="1" x14ac:dyDescent="0.25">
      <c r="A89" s="19" t="s">
        <v>303</v>
      </c>
      <c r="B89" s="9" t="s">
        <v>23</v>
      </c>
      <c r="C89" s="9" t="s">
        <v>23</v>
      </c>
      <c r="D89" s="9" t="s">
        <v>23</v>
      </c>
      <c r="E89" s="9" t="s">
        <v>23</v>
      </c>
      <c r="F89" s="9" t="s">
        <v>23</v>
      </c>
    </row>
    <row r="90" spans="1:6" ht="16" thickBot="1" x14ac:dyDescent="0.25">
      <c r="A90" s="17" t="s">
        <v>304</v>
      </c>
      <c r="B90" s="7">
        <v>7519</v>
      </c>
      <c r="C90" s="7">
        <v>7571</v>
      </c>
      <c r="D90" s="7">
        <v>7643</v>
      </c>
      <c r="E90" s="7">
        <v>7677</v>
      </c>
      <c r="F90" s="7">
        <v>7708</v>
      </c>
    </row>
    <row r="91" spans="1:6" ht="16" thickBot="1" x14ac:dyDescent="0.25">
      <c r="A91" s="18" t="s">
        <v>305</v>
      </c>
      <c r="B91" s="8">
        <v>7519</v>
      </c>
      <c r="C91" s="8">
        <v>7571</v>
      </c>
      <c r="D91" s="8">
        <v>7643</v>
      </c>
      <c r="E91" s="8">
        <v>7677</v>
      </c>
      <c r="F91" s="8">
        <v>7708</v>
      </c>
    </row>
    <row r="92" spans="1:6" ht="16" thickBot="1" x14ac:dyDescent="0.25">
      <c r="A92" s="19" t="s">
        <v>306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</row>
    <row r="93" spans="1:6" ht="16" thickBot="1" x14ac:dyDescent="0.25">
      <c r="A93" s="19" t="s">
        <v>307</v>
      </c>
      <c r="B93" s="9" t="s">
        <v>23</v>
      </c>
      <c r="C93" s="9" t="s">
        <v>23</v>
      </c>
      <c r="D93" s="9" t="s">
        <v>23</v>
      </c>
      <c r="E93" s="9" t="s">
        <v>23</v>
      </c>
      <c r="F93" s="9" t="s">
        <v>23</v>
      </c>
    </row>
    <row r="94" spans="1:6" ht="16" thickBot="1" x14ac:dyDescent="0.25">
      <c r="A94" s="19" t="s">
        <v>308</v>
      </c>
      <c r="B94" s="9" t="s">
        <v>23</v>
      </c>
      <c r="C94" s="9" t="s">
        <v>23</v>
      </c>
      <c r="D94" s="9" t="s">
        <v>23</v>
      </c>
      <c r="E94" s="9" t="s">
        <v>23</v>
      </c>
      <c r="F94" s="9" t="s">
        <v>23</v>
      </c>
    </row>
    <row r="95" spans="1:6" ht="16" thickBot="1" x14ac:dyDescent="0.25">
      <c r="A95" s="19" t="s">
        <v>309</v>
      </c>
      <c r="B95" s="9" t="s">
        <v>23</v>
      </c>
      <c r="C95" s="9" t="s">
        <v>23</v>
      </c>
      <c r="D95" s="9" t="s">
        <v>23</v>
      </c>
      <c r="E95" s="9" t="s">
        <v>23</v>
      </c>
      <c r="F95" s="9" t="s">
        <v>23</v>
      </c>
    </row>
    <row r="96" spans="1:6" ht="16" thickBot="1" x14ac:dyDescent="0.25">
      <c r="A96" s="19" t="s">
        <v>310</v>
      </c>
      <c r="B96" s="9" t="s">
        <v>23</v>
      </c>
      <c r="C96" s="9" t="s">
        <v>23</v>
      </c>
      <c r="D96" s="9" t="s">
        <v>23</v>
      </c>
      <c r="E96" s="9" t="s">
        <v>23</v>
      </c>
      <c r="F96" s="9" t="s">
        <v>23</v>
      </c>
    </row>
    <row r="97" spans="1:6" ht="16" thickBot="1" x14ac:dyDescent="0.25">
      <c r="A97" s="19" t="s">
        <v>311</v>
      </c>
      <c r="B97" s="9" t="s">
        <v>23</v>
      </c>
      <c r="C97" s="9" t="s">
        <v>23</v>
      </c>
      <c r="D97" s="9" t="s">
        <v>23</v>
      </c>
      <c r="E97" s="9" t="s">
        <v>23</v>
      </c>
      <c r="F97" s="9" t="s">
        <v>23</v>
      </c>
    </row>
    <row r="98" spans="1:6" ht="16" thickBot="1" x14ac:dyDescent="0.25">
      <c r="A98" s="19" t="s">
        <v>312</v>
      </c>
      <c r="B98" s="9" t="s">
        <v>23</v>
      </c>
      <c r="C98" s="9" t="s">
        <v>23</v>
      </c>
      <c r="D98" s="9" t="s">
        <v>23</v>
      </c>
      <c r="E98" s="9" t="s">
        <v>23</v>
      </c>
      <c r="F98" s="9" t="s">
        <v>23</v>
      </c>
    </row>
    <row r="99" spans="1:6" ht="16" thickBot="1" x14ac:dyDescent="0.25">
      <c r="A99" s="19" t="s">
        <v>313</v>
      </c>
      <c r="B99" s="9" t="s">
        <v>23</v>
      </c>
      <c r="C99" s="9" t="s">
        <v>23</v>
      </c>
      <c r="D99" s="9" t="s">
        <v>23</v>
      </c>
      <c r="E99" s="9" t="s">
        <v>23</v>
      </c>
      <c r="F99" s="9" t="s">
        <v>23</v>
      </c>
    </row>
    <row r="100" spans="1:6" ht="16" thickBot="1" x14ac:dyDescent="0.25">
      <c r="A100" s="19" t="s">
        <v>314</v>
      </c>
      <c r="B100" s="9" t="s">
        <v>23</v>
      </c>
      <c r="C100" s="9" t="s">
        <v>23</v>
      </c>
      <c r="D100" s="9" t="s">
        <v>23</v>
      </c>
      <c r="E100" s="9" t="s">
        <v>23</v>
      </c>
      <c r="F100" s="9" t="s">
        <v>23</v>
      </c>
    </row>
    <row r="101" spans="1:6" ht="16" thickBot="1" x14ac:dyDescent="0.25">
      <c r="A101" s="19" t="s">
        <v>315</v>
      </c>
      <c r="B101" s="9" t="s">
        <v>23</v>
      </c>
      <c r="C101" s="9" t="s">
        <v>23</v>
      </c>
      <c r="D101" s="9" t="s">
        <v>23</v>
      </c>
      <c r="E101" s="9" t="s">
        <v>23</v>
      </c>
      <c r="F101" s="9" t="s">
        <v>23</v>
      </c>
    </row>
    <row r="102" spans="1:6" ht="16" thickBot="1" x14ac:dyDescent="0.25">
      <c r="A102" s="19" t="s">
        <v>316</v>
      </c>
      <c r="B102" s="9" t="s">
        <v>23</v>
      </c>
      <c r="C102" s="9" t="s">
        <v>23</v>
      </c>
      <c r="D102" s="9" t="s">
        <v>23</v>
      </c>
      <c r="E102" s="9" t="s">
        <v>23</v>
      </c>
      <c r="F102" s="9" t="s">
        <v>23</v>
      </c>
    </row>
    <row r="103" spans="1:6" ht="16" thickBot="1" x14ac:dyDescent="0.25">
      <c r="A103" s="19" t="s">
        <v>317</v>
      </c>
      <c r="B103" s="9" t="s">
        <v>23</v>
      </c>
      <c r="C103" s="9" t="s">
        <v>23</v>
      </c>
      <c r="D103" s="9" t="s">
        <v>23</v>
      </c>
      <c r="E103" s="9" t="s">
        <v>23</v>
      </c>
      <c r="F103" s="9" t="s">
        <v>23</v>
      </c>
    </row>
    <row r="104" spans="1:6" ht="16" thickBot="1" x14ac:dyDescent="0.25">
      <c r="A104" s="19" t="s">
        <v>318</v>
      </c>
      <c r="B104" s="9" t="s">
        <v>23</v>
      </c>
      <c r="C104" s="9" t="s">
        <v>23</v>
      </c>
      <c r="D104" s="9" t="s">
        <v>23</v>
      </c>
      <c r="E104" s="9" t="s">
        <v>23</v>
      </c>
      <c r="F104" s="9" t="s">
        <v>23</v>
      </c>
    </row>
    <row r="105" spans="1:6" ht="16" thickBot="1" x14ac:dyDescent="0.25">
      <c r="A105" s="19" t="s">
        <v>319</v>
      </c>
      <c r="B105" s="9">
        <v>141988</v>
      </c>
      <c r="C105" s="9">
        <v>118304</v>
      </c>
      <c r="D105" s="9">
        <v>102330</v>
      </c>
      <c r="E105" s="9">
        <v>82718</v>
      </c>
      <c r="F105" s="9">
        <v>87711</v>
      </c>
    </row>
    <row r="106" spans="1:6" ht="16" thickBot="1" x14ac:dyDescent="0.25">
      <c r="A106" s="19" t="s">
        <v>320</v>
      </c>
      <c r="B106" s="9">
        <v>181000</v>
      </c>
      <c r="C106" s="9">
        <v>163000</v>
      </c>
      <c r="D106" s="9">
        <v>144000</v>
      </c>
      <c r="E106" s="9">
        <v>131000</v>
      </c>
      <c r="F106" s="9">
        <v>124000</v>
      </c>
    </row>
    <row r="107" spans="1:6" ht="16" thickBot="1" x14ac:dyDescent="0.25">
      <c r="A107" s="19" t="s">
        <v>321</v>
      </c>
      <c r="B107" s="9" t="s">
        <v>23</v>
      </c>
      <c r="C107" s="9" t="s">
        <v>23</v>
      </c>
      <c r="D107" s="9" t="s">
        <v>23</v>
      </c>
      <c r="E107" s="9" t="s">
        <v>23</v>
      </c>
      <c r="F107" s="9" t="s">
        <v>23</v>
      </c>
    </row>
    <row r="108" spans="1:6" ht="16" thickBot="1" x14ac:dyDescent="0.25">
      <c r="A108" s="19" t="s">
        <v>322</v>
      </c>
      <c r="B108" s="9">
        <v>89291</v>
      </c>
      <c r="C108" s="9">
        <v>91674</v>
      </c>
      <c r="D108" s="9">
        <v>94069</v>
      </c>
      <c r="E108" s="9">
        <v>97535</v>
      </c>
      <c r="F108" s="9">
        <v>101825</v>
      </c>
    </row>
    <row r="109" spans="1:6" ht="16" thickBot="1" x14ac:dyDescent="0.25">
      <c r="A109" s="19" t="s">
        <v>323</v>
      </c>
      <c r="B109" s="9" t="s">
        <v>23</v>
      </c>
      <c r="C109" s="9" t="s">
        <v>23</v>
      </c>
      <c r="D109" s="9" t="s">
        <v>23</v>
      </c>
      <c r="E109" s="9" t="s">
        <v>23</v>
      </c>
      <c r="F109" s="9" t="s">
        <v>23</v>
      </c>
    </row>
    <row r="110" spans="1:6" ht="16" thickBot="1" x14ac:dyDescent="0.25">
      <c r="A110" s="19" t="s">
        <v>324</v>
      </c>
      <c r="B110" s="9" t="s">
        <v>23</v>
      </c>
      <c r="C110" s="9" t="s">
        <v>23</v>
      </c>
      <c r="D110" s="9" t="s">
        <v>23</v>
      </c>
      <c r="E110" s="9" t="s">
        <v>23</v>
      </c>
      <c r="F110" s="9" t="s">
        <v>23</v>
      </c>
    </row>
    <row r="111" spans="1:6" ht="16" thickBot="1" x14ac:dyDescent="0.25">
      <c r="A111" s="19" t="s">
        <v>325</v>
      </c>
      <c r="B111" s="9">
        <v>49711</v>
      </c>
      <c r="C111" s="9">
        <v>43351</v>
      </c>
      <c r="D111" s="9">
        <v>42026</v>
      </c>
      <c r="E111" s="9">
        <v>35683</v>
      </c>
      <c r="F111" s="9">
        <v>35122</v>
      </c>
    </row>
    <row r="112" spans="1:6" ht="16" thickBot="1" x14ac:dyDescent="0.25">
      <c r="A112" s="19" t="s">
        <v>326</v>
      </c>
      <c r="B112" s="9" t="s">
        <v>23</v>
      </c>
      <c r="C112" s="9" t="s">
        <v>23</v>
      </c>
      <c r="D112" s="9" t="s">
        <v>23</v>
      </c>
      <c r="E112" s="9" t="s">
        <v>23</v>
      </c>
      <c r="F112" s="9" t="s">
        <v>23</v>
      </c>
    </row>
    <row r="113" spans="1:6" ht="16" thickBot="1" x14ac:dyDescent="0.25">
      <c r="A113" s="19" t="s">
        <v>327</v>
      </c>
      <c r="B113" s="9">
        <v>12175</v>
      </c>
      <c r="C113" s="9">
        <v>10721</v>
      </c>
      <c r="D113" s="9">
        <v>9389</v>
      </c>
      <c r="E113" s="9">
        <v>7883</v>
      </c>
      <c r="F113" s="9">
        <v>6561</v>
      </c>
    </row>
    <row r="114" spans="1:6" ht="16" thickBot="1" x14ac:dyDescent="0.25">
      <c r="A114" s="19" t="s">
        <v>328</v>
      </c>
      <c r="B114" s="9">
        <v>8</v>
      </c>
      <c r="C114" s="9">
        <v>8</v>
      </c>
      <c r="D114" s="9" t="s">
        <v>23</v>
      </c>
      <c r="E114" s="9" t="s">
        <v>23</v>
      </c>
      <c r="F114" s="9" t="s">
        <v>23</v>
      </c>
    </row>
    <row r="115" spans="1:6" ht="16" thickBot="1" x14ac:dyDescent="0.25">
      <c r="A115" s="19" t="s">
        <v>329</v>
      </c>
      <c r="B115" s="9">
        <v>12</v>
      </c>
      <c r="C115" s="9">
        <v>13</v>
      </c>
      <c r="D115" s="9" t="s">
        <v>23</v>
      </c>
      <c r="E115" s="9" t="s">
        <v>23</v>
      </c>
      <c r="F115" s="9" t="s">
        <v>23</v>
      </c>
    </row>
    <row r="116" spans="1:6" ht="16" thickBot="1" x14ac:dyDescent="0.25">
      <c r="A116" s="19" t="s">
        <v>330</v>
      </c>
      <c r="B116" s="9">
        <v>2</v>
      </c>
      <c r="C116" s="9">
        <v>3</v>
      </c>
      <c r="D116" s="9" t="s">
        <v>23</v>
      </c>
      <c r="E116" s="9" t="s">
        <v>23</v>
      </c>
      <c r="F116" s="9" t="s">
        <v>23</v>
      </c>
    </row>
    <row r="117" spans="1:6" ht="16" thickBot="1" x14ac:dyDescent="0.25">
      <c r="A117" s="19" t="s">
        <v>331</v>
      </c>
      <c r="B117" s="9">
        <v>3</v>
      </c>
      <c r="C117" s="9">
        <v>4</v>
      </c>
      <c r="D117" s="9" t="s">
        <v>23</v>
      </c>
      <c r="E117" s="9" t="s">
        <v>23</v>
      </c>
      <c r="F117" s="9" t="s">
        <v>23</v>
      </c>
    </row>
    <row r="118" spans="1:6" ht="16" thickBot="1" x14ac:dyDescent="0.25">
      <c r="A118" s="19" t="s">
        <v>332</v>
      </c>
      <c r="B118" s="9">
        <v>11801</v>
      </c>
      <c r="C118" s="9">
        <v>8986</v>
      </c>
      <c r="D118" s="9">
        <v>6267</v>
      </c>
      <c r="E118" s="9">
        <v>4139</v>
      </c>
      <c r="F118" s="9">
        <v>2497</v>
      </c>
    </row>
    <row r="119" spans="1:6" ht="16" thickBot="1" x14ac:dyDescent="0.25">
      <c r="A119" s="19" t="s">
        <v>333</v>
      </c>
      <c r="B119" s="9">
        <v>25908</v>
      </c>
      <c r="C119" s="9">
        <v>19357</v>
      </c>
      <c r="D119" s="9">
        <v>13308</v>
      </c>
      <c r="E119" s="9">
        <v>8682</v>
      </c>
      <c r="F119" s="9">
        <v>5155</v>
      </c>
    </row>
    <row r="120" spans="1:6" ht="16" thickBot="1" x14ac:dyDescent="0.25">
      <c r="A120" s="19" t="s">
        <v>334</v>
      </c>
      <c r="B120" s="9">
        <v>2306</v>
      </c>
      <c r="C120" s="9">
        <v>1385</v>
      </c>
      <c r="D120" s="9">
        <v>774</v>
      </c>
      <c r="E120" s="9">
        <v>404</v>
      </c>
      <c r="F120" s="9">
        <v>161</v>
      </c>
    </row>
    <row r="121" spans="1:6" ht="16" thickBot="1" x14ac:dyDescent="0.25">
      <c r="A121" s="19" t="s">
        <v>335</v>
      </c>
      <c r="B121" s="9" t="s">
        <v>23</v>
      </c>
      <c r="C121" s="9" t="s">
        <v>23</v>
      </c>
      <c r="D121" s="9" t="s">
        <v>23</v>
      </c>
      <c r="E121" s="9" t="s">
        <v>23</v>
      </c>
      <c r="F121" s="9" t="s">
        <v>23</v>
      </c>
    </row>
    <row r="122" spans="1:6" ht="16" thickBot="1" x14ac:dyDescent="0.25">
      <c r="A122" s="19" t="s">
        <v>336</v>
      </c>
      <c r="B122" s="9">
        <v>11088</v>
      </c>
      <c r="C122" s="9">
        <v>8753</v>
      </c>
      <c r="D122" s="9">
        <v>7379</v>
      </c>
      <c r="E122" s="9">
        <v>6686</v>
      </c>
      <c r="F122" s="9">
        <v>6555</v>
      </c>
    </row>
    <row r="123" spans="1:6" ht="16" thickBot="1" x14ac:dyDescent="0.25">
      <c r="A123" s="19" t="s">
        <v>337</v>
      </c>
      <c r="B123" s="9" t="s">
        <v>23</v>
      </c>
      <c r="C123" s="9" t="s">
        <v>23</v>
      </c>
      <c r="D123" s="9" t="s">
        <v>23</v>
      </c>
      <c r="E123" s="9" t="s">
        <v>23</v>
      </c>
      <c r="F123" s="9" t="s">
        <v>23</v>
      </c>
    </row>
    <row r="124" spans="1:6" ht="16" thickBot="1" x14ac:dyDescent="0.25">
      <c r="A124" s="19" t="s">
        <v>338</v>
      </c>
      <c r="B124" s="9" t="s">
        <v>23</v>
      </c>
      <c r="C124" s="9" t="s">
        <v>23</v>
      </c>
      <c r="D124" s="9" t="s">
        <v>23</v>
      </c>
      <c r="E124" s="9" t="s">
        <v>23</v>
      </c>
      <c r="F124" s="9" t="s">
        <v>23</v>
      </c>
    </row>
    <row r="125" spans="1:6" ht="16" thickBot="1" x14ac:dyDescent="0.25">
      <c r="A125" s="19" t="s">
        <v>339</v>
      </c>
      <c r="B125" s="9" t="s">
        <v>23</v>
      </c>
      <c r="C125" s="9" t="s">
        <v>23</v>
      </c>
      <c r="D125" s="9" t="s">
        <v>23</v>
      </c>
      <c r="E125" s="9" t="s">
        <v>23</v>
      </c>
      <c r="F125" s="9" t="s">
        <v>23</v>
      </c>
    </row>
    <row r="126" spans="1:6" ht="16" thickBot="1" x14ac:dyDescent="0.25">
      <c r="A126" s="19" t="s">
        <v>340</v>
      </c>
      <c r="B126" s="9" t="s">
        <v>23</v>
      </c>
      <c r="C126" s="9" t="s">
        <v>23</v>
      </c>
      <c r="D126" s="9" t="s">
        <v>23</v>
      </c>
      <c r="E126" s="9" t="s">
        <v>23</v>
      </c>
      <c r="F126" s="9" t="s">
        <v>23</v>
      </c>
    </row>
    <row r="127" spans="1:6" ht="16" thickBot="1" x14ac:dyDescent="0.25">
      <c r="A127" s="19" t="s">
        <v>341</v>
      </c>
      <c r="B127" s="9">
        <v>41525</v>
      </c>
      <c r="C127" s="9">
        <v>36000</v>
      </c>
      <c r="D127" s="9">
        <v>32676</v>
      </c>
      <c r="E127" s="9">
        <v>28905</v>
      </c>
      <c r="F127" s="9">
        <v>24013</v>
      </c>
    </row>
    <row r="128" spans="1:6" ht="16" thickBot="1" x14ac:dyDescent="0.25">
      <c r="A128" s="19" t="s">
        <v>342</v>
      </c>
      <c r="B128" s="9">
        <v>2616</v>
      </c>
      <c r="C128" s="9">
        <v>3180</v>
      </c>
      <c r="D128" s="9">
        <v>4530</v>
      </c>
      <c r="E128" s="9">
        <v>3815</v>
      </c>
      <c r="F128" s="9">
        <v>2643</v>
      </c>
    </row>
    <row r="129" spans="1:6" ht="16" thickBot="1" x14ac:dyDescent="0.25">
      <c r="A129" s="19" t="s">
        <v>343</v>
      </c>
      <c r="B129" s="9" t="s">
        <v>23</v>
      </c>
      <c r="C129" s="9" t="s">
        <v>23</v>
      </c>
      <c r="D129" s="9" t="s">
        <v>23</v>
      </c>
      <c r="E129" s="9" t="s">
        <v>23</v>
      </c>
      <c r="F129" s="9" t="s">
        <v>23</v>
      </c>
    </row>
    <row r="130" spans="1:6" ht="16" thickBot="1" x14ac:dyDescent="0.25">
      <c r="A130" s="19" t="s">
        <v>344</v>
      </c>
      <c r="B130" s="9" t="s">
        <v>23</v>
      </c>
      <c r="C130" s="9" t="s">
        <v>23</v>
      </c>
      <c r="D130" s="9" t="s">
        <v>23</v>
      </c>
      <c r="E130" s="9" t="s">
        <v>23</v>
      </c>
      <c r="F130" s="9" t="s">
        <v>23</v>
      </c>
    </row>
    <row r="131" spans="1:6" ht="16" thickBot="1" x14ac:dyDescent="0.25">
      <c r="A131" s="19" t="s">
        <v>345</v>
      </c>
      <c r="B131" s="9" t="s">
        <v>23</v>
      </c>
      <c r="C131" s="9" t="s">
        <v>23</v>
      </c>
      <c r="D131" s="9" t="s">
        <v>23</v>
      </c>
      <c r="E131" s="9" t="s">
        <v>23</v>
      </c>
      <c r="F131" s="9" t="s">
        <v>23</v>
      </c>
    </row>
    <row r="132" spans="1:6" ht="16" thickBot="1" x14ac:dyDescent="0.25">
      <c r="A132" s="19" t="s">
        <v>346</v>
      </c>
      <c r="B132" s="9" t="s">
        <v>23</v>
      </c>
      <c r="C132" s="9" t="s">
        <v>23</v>
      </c>
      <c r="D132" s="9" t="s">
        <v>23</v>
      </c>
      <c r="E132" s="9" t="s">
        <v>23</v>
      </c>
      <c r="F132" s="9" t="s">
        <v>23</v>
      </c>
    </row>
    <row r="133" spans="1:6" ht="16" thickBot="1" x14ac:dyDescent="0.25">
      <c r="A133" s="19" t="s">
        <v>347</v>
      </c>
      <c r="B133" s="9">
        <v>791</v>
      </c>
      <c r="C133" s="9">
        <v>540</v>
      </c>
      <c r="D133" s="9">
        <v>317</v>
      </c>
      <c r="E133" s="9">
        <v>176</v>
      </c>
      <c r="F133" s="9">
        <v>113</v>
      </c>
    </row>
    <row r="134" spans="1:6" ht="16" thickBot="1" x14ac:dyDescent="0.25">
      <c r="A134" s="19" t="s">
        <v>348</v>
      </c>
      <c r="B134" s="9">
        <v>1962</v>
      </c>
      <c r="C134" s="9">
        <v>1616</v>
      </c>
      <c r="D134" s="9">
        <v>1515</v>
      </c>
      <c r="E134" s="9">
        <v>1399</v>
      </c>
      <c r="F134" s="9" t="s">
        <v>23</v>
      </c>
    </row>
    <row r="135" spans="1:6" ht="16" thickBot="1" x14ac:dyDescent="0.25">
      <c r="A135" s="19" t="s">
        <v>349</v>
      </c>
      <c r="B135" s="9">
        <v>9629</v>
      </c>
      <c r="C135" s="9">
        <v>7671</v>
      </c>
      <c r="D135" s="9">
        <v>6188</v>
      </c>
      <c r="E135" s="9">
        <v>5568</v>
      </c>
      <c r="F135" s="9">
        <v>5372</v>
      </c>
    </row>
    <row r="136" spans="1:6" ht="16" thickBot="1" x14ac:dyDescent="0.25">
      <c r="A136" s="19" t="s">
        <v>350</v>
      </c>
      <c r="B136" s="9" t="s">
        <v>23</v>
      </c>
      <c r="C136" s="9" t="s">
        <v>23</v>
      </c>
      <c r="D136" s="9">
        <v>221</v>
      </c>
      <c r="E136" s="9">
        <v>203</v>
      </c>
      <c r="F136" s="9">
        <v>148</v>
      </c>
    </row>
    <row r="137" spans="1:6" ht="16" thickBot="1" x14ac:dyDescent="0.25">
      <c r="A137" s="19" t="s">
        <v>351</v>
      </c>
      <c r="B137" s="9" t="s">
        <v>23</v>
      </c>
      <c r="C137" s="9" t="s">
        <v>23</v>
      </c>
      <c r="D137" s="9" t="s">
        <v>23</v>
      </c>
      <c r="E137" s="9" t="s">
        <v>23</v>
      </c>
      <c r="F137" s="9" t="s">
        <v>23</v>
      </c>
    </row>
    <row r="138" spans="1:6" ht="16" thickBot="1" x14ac:dyDescent="0.25">
      <c r="A138" s="19" t="s">
        <v>352</v>
      </c>
      <c r="B138" s="9" t="s">
        <v>23</v>
      </c>
      <c r="C138" s="9" t="s">
        <v>23</v>
      </c>
      <c r="D138" s="9">
        <v>15</v>
      </c>
      <c r="E138" s="9">
        <v>5</v>
      </c>
      <c r="F138" s="9">
        <v>8</v>
      </c>
    </row>
    <row r="139" spans="1:6" ht="16" thickBot="1" x14ac:dyDescent="0.25">
      <c r="A139" s="19" t="s">
        <v>353</v>
      </c>
      <c r="B139" s="9" t="s">
        <v>23</v>
      </c>
      <c r="C139" s="9" t="s">
        <v>23</v>
      </c>
      <c r="D139" s="9" t="s">
        <v>23</v>
      </c>
      <c r="E139" s="9" t="s">
        <v>23</v>
      </c>
      <c r="F139" s="9" t="s">
        <v>23</v>
      </c>
    </row>
    <row r="140" spans="1:6" ht="16" thickBot="1" x14ac:dyDescent="0.25">
      <c r="A140" s="19" t="s">
        <v>354</v>
      </c>
      <c r="B140" s="13" t="s">
        <v>23</v>
      </c>
      <c r="C140" s="13" t="s">
        <v>23</v>
      </c>
      <c r="D140" s="13" t="s">
        <v>23</v>
      </c>
      <c r="E140" s="13" t="s">
        <v>23</v>
      </c>
      <c r="F140" s="13" t="s">
        <v>23</v>
      </c>
    </row>
    <row r="141" spans="1:6" ht="16" thickBot="1" x14ac:dyDescent="0.25">
      <c r="A141" s="19" t="s">
        <v>355</v>
      </c>
      <c r="B141" s="13" t="s">
        <v>23</v>
      </c>
      <c r="C141" s="13" t="s">
        <v>23</v>
      </c>
      <c r="D141" s="13" t="s">
        <v>23</v>
      </c>
      <c r="E141" s="13" t="s">
        <v>23</v>
      </c>
      <c r="F141" s="13" t="s">
        <v>23</v>
      </c>
    </row>
    <row r="142" spans="1:6" ht="16" thickBot="1" x14ac:dyDescent="0.25">
      <c r="A142" s="19" t="s">
        <v>356</v>
      </c>
      <c r="B142" s="13" t="s">
        <v>23</v>
      </c>
      <c r="C142" s="13" t="s">
        <v>23</v>
      </c>
      <c r="D142" s="13" t="s">
        <v>23</v>
      </c>
      <c r="E142" s="13" t="s">
        <v>23</v>
      </c>
      <c r="F142" s="13" t="s">
        <v>23</v>
      </c>
    </row>
    <row r="143" spans="1:6" ht="16" thickBot="1" x14ac:dyDescent="0.25">
      <c r="A143" s="19" t="s">
        <v>357</v>
      </c>
      <c r="B143" s="9" t="s">
        <v>23</v>
      </c>
      <c r="C143" s="9" t="s">
        <v>23</v>
      </c>
      <c r="D143" s="9" t="s">
        <v>23</v>
      </c>
      <c r="E143" s="9" t="s">
        <v>23</v>
      </c>
      <c r="F143" s="9" t="s">
        <v>23</v>
      </c>
    </row>
    <row r="144" spans="1:6" ht="16" thickBot="1" x14ac:dyDescent="0.25">
      <c r="A144" s="19" t="s">
        <v>358</v>
      </c>
      <c r="B144" s="9" t="s">
        <v>23</v>
      </c>
      <c r="C144" s="9" t="s">
        <v>23</v>
      </c>
      <c r="D144" s="9" t="s">
        <v>23</v>
      </c>
      <c r="E144" s="9" t="s">
        <v>23</v>
      </c>
      <c r="F144" s="9" t="s">
        <v>23</v>
      </c>
    </row>
    <row r="145" spans="1:6" ht="16" thickBot="1" x14ac:dyDescent="0.25">
      <c r="A145" s="19" t="s">
        <v>359</v>
      </c>
      <c r="B145" s="9" t="s">
        <v>23</v>
      </c>
      <c r="C145" s="9" t="s">
        <v>23</v>
      </c>
      <c r="D145" s="9" t="s">
        <v>23</v>
      </c>
      <c r="E145" s="9" t="s">
        <v>23</v>
      </c>
      <c r="F145" s="9" t="s">
        <v>23</v>
      </c>
    </row>
    <row r="146" spans="1:6" ht="16" thickBot="1" x14ac:dyDescent="0.25">
      <c r="A146" s="19" t="s">
        <v>360</v>
      </c>
      <c r="B146" s="9" t="s">
        <v>23</v>
      </c>
      <c r="C146" s="9" t="s">
        <v>23</v>
      </c>
      <c r="D146" s="9" t="s">
        <v>23</v>
      </c>
      <c r="E146" s="9" t="s">
        <v>23</v>
      </c>
      <c r="F146" s="9" t="s">
        <v>23</v>
      </c>
    </row>
    <row r="147" spans="1:6" ht="16" thickBot="1" x14ac:dyDescent="0.25">
      <c r="A147" s="19" t="s">
        <v>361</v>
      </c>
      <c r="B147" s="9" t="s">
        <v>23</v>
      </c>
      <c r="C147" s="9" t="s">
        <v>23</v>
      </c>
      <c r="D147" s="9" t="s">
        <v>23</v>
      </c>
      <c r="E147" s="9" t="s">
        <v>23</v>
      </c>
      <c r="F147" s="9" t="s">
        <v>23</v>
      </c>
    </row>
    <row r="148" spans="1:6" ht="16" thickBot="1" x14ac:dyDescent="0.25">
      <c r="A148" s="19" t="s">
        <v>362</v>
      </c>
      <c r="B148" s="9" t="s">
        <v>23</v>
      </c>
      <c r="C148" s="9" t="s">
        <v>23</v>
      </c>
      <c r="D148" s="9" t="s">
        <v>23</v>
      </c>
      <c r="E148" s="9" t="s">
        <v>23</v>
      </c>
      <c r="F148" s="9" t="s">
        <v>23</v>
      </c>
    </row>
    <row r="149" spans="1:6" ht="16" thickBot="1" x14ac:dyDescent="0.25">
      <c r="A149" s="19" t="s">
        <v>363</v>
      </c>
      <c r="B149" s="9" t="s">
        <v>23</v>
      </c>
      <c r="C149" s="9" t="s">
        <v>23</v>
      </c>
      <c r="D149" s="9" t="s">
        <v>23</v>
      </c>
      <c r="E149" s="9" t="s">
        <v>23</v>
      </c>
      <c r="F149" s="9" t="s">
        <v>23</v>
      </c>
    </row>
    <row r="150" spans="1:6" ht="16" thickBot="1" x14ac:dyDescent="0.25">
      <c r="A150" s="19" t="s">
        <v>364</v>
      </c>
      <c r="B150" s="13" t="s">
        <v>23</v>
      </c>
      <c r="C150" s="13" t="s">
        <v>23</v>
      </c>
      <c r="D150" s="13" t="s">
        <v>23</v>
      </c>
      <c r="E150" s="13" t="s">
        <v>23</v>
      </c>
      <c r="F150" s="13" t="s">
        <v>23</v>
      </c>
    </row>
    <row r="151" spans="1:6" ht="16" thickBot="1" x14ac:dyDescent="0.25">
      <c r="A151" s="19" t="s">
        <v>365</v>
      </c>
      <c r="B151" s="13" t="s">
        <v>23</v>
      </c>
      <c r="C151" s="13" t="s">
        <v>23</v>
      </c>
      <c r="D151" s="13" t="s">
        <v>23</v>
      </c>
      <c r="E151" s="13" t="s">
        <v>23</v>
      </c>
      <c r="F151" s="13" t="s">
        <v>23</v>
      </c>
    </row>
    <row r="152" spans="1:6" ht="16" thickBot="1" x14ac:dyDescent="0.25">
      <c r="A152" s="19" t="s">
        <v>366</v>
      </c>
      <c r="B152" s="13" t="s">
        <v>23</v>
      </c>
      <c r="C152" s="13" t="s">
        <v>23</v>
      </c>
      <c r="D152" s="13" t="s">
        <v>23</v>
      </c>
      <c r="E152" s="13" t="s">
        <v>23</v>
      </c>
      <c r="F152" s="13" t="s">
        <v>23</v>
      </c>
    </row>
    <row r="153" spans="1:6" ht="16" thickBot="1" x14ac:dyDescent="0.25">
      <c r="A153" s="19" t="s">
        <v>367</v>
      </c>
      <c r="B153" s="13" t="s">
        <v>23</v>
      </c>
      <c r="C153" s="13" t="s">
        <v>23</v>
      </c>
      <c r="D153" s="13" t="s">
        <v>23</v>
      </c>
      <c r="E153" s="13" t="s">
        <v>23</v>
      </c>
      <c r="F153" s="13" t="s">
        <v>23</v>
      </c>
    </row>
    <row r="154" spans="1:6" ht="16" thickBot="1" x14ac:dyDescent="0.25">
      <c r="A154" s="19" t="s">
        <v>368</v>
      </c>
      <c r="B154" s="13" t="s">
        <v>23</v>
      </c>
      <c r="C154" s="13" t="s">
        <v>23</v>
      </c>
      <c r="D154" s="13" t="s">
        <v>23</v>
      </c>
      <c r="E154" s="13" t="s">
        <v>23</v>
      </c>
      <c r="F154" s="13" t="s">
        <v>23</v>
      </c>
    </row>
    <row r="155" spans="1:6" ht="16" thickBot="1" x14ac:dyDescent="0.25">
      <c r="A155" s="19" t="s">
        <v>369</v>
      </c>
      <c r="B155" s="9" t="s">
        <v>23</v>
      </c>
      <c r="C155" s="9" t="s">
        <v>23</v>
      </c>
      <c r="D155" s="9" t="s">
        <v>23</v>
      </c>
      <c r="E155" s="9" t="s">
        <v>23</v>
      </c>
      <c r="F155" s="9" t="s">
        <v>23</v>
      </c>
    </row>
    <row r="156" spans="1:6" ht="16" thickBot="1" x14ac:dyDescent="0.25">
      <c r="A156" s="19" t="s">
        <v>370</v>
      </c>
      <c r="B156" s="9" t="s">
        <v>23</v>
      </c>
      <c r="C156" s="9" t="s">
        <v>23</v>
      </c>
      <c r="D156" s="9" t="s">
        <v>23</v>
      </c>
      <c r="E156" s="9" t="s">
        <v>23</v>
      </c>
      <c r="F156" s="9" t="s">
        <v>23</v>
      </c>
    </row>
    <row r="157" spans="1:6" ht="16" thickBot="1" x14ac:dyDescent="0.25">
      <c r="A157" s="19" t="s">
        <v>371</v>
      </c>
      <c r="B157" s="9" t="s">
        <v>23</v>
      </c>
      <c r="C157" s="9" t="s">
        <v>23</v>
      </c>
      <c r="D157" s="9" t="s">
        <v>23</v>
      </c>
      <c r="E157" s="9" t="s">
        <v>23</v>
      </c>
      <c r="F157" s="9" t="s">
        <v>23</v>
      </c>
    </row>
    <row r="158" spans="1:6" ht="16" thickBot="1" x14ac:dyDescent="0.25">
      <c r="A158" s="19" t="s">
        <v>372</v>
      </c>
      <c r="B158" s="9" t="s">
        <v>23</v>
      </c>
      <c r="C158" s="9" t="s">
        <v>23</v>
      </c>
      <c r="D158" s="9" t="s">
        <v>23</v>
      </c>
      <c r="E158" s="9" t="s">
        <v>23</v>
      </c>
      <c r="F158" s="9" t="s">
        <v>23</v>
      </c>
    </row>
    <row r="159" spans="1:6" ht="16" thickBot="1" x14ac:dyDescent="0.25">
      <c r="A159" s="19" t="s">
        <v>373</v>
      </c>
      <c r="B159" s="9" t="s">
        <v>23</v>
      </c>
      <c r="C159" s="9" t="s">
        <v>23</v>
      </c>
      <c r="D159" s="9" t="s">
        <v>23</v>
      </c>
      <c r="E159" s="9" t="s">
        <v>23</v>
      </c>
      <c r="F159" s="9" t="s">
        <v>23</v>
      </c>
    </row>
    <row r="160" spans="1:6" ht="16" thickBot="1" x14ac:dyDescent="0.25">
      <c r="A160" s="19" t="s">
        <v>374</v>
      </c>
      <c r="B160" s="9" t="s">
        <v>23</v>
      </c>
      <c r="C160" s="9" t="s">
        <v>23</v>
      </c>
      <c r="D160" s="9" t="s">
        <v>23</v>
      </c>
      <c r="E160" s="9" t="s">
        <v>23</v>
      </c>
      <c r="F160" s="9" t="s">
        <v>23</v>
      </c>
    </row>
    <row r="161" spans="1:6" ht="16" thickBot="1" x14ac:dyDescent="0.25">
      <c r="A161" s="19" t="s">
        <v>375</v>
      </c>
      <c r="B161" s="9" t="s">
        <v>23</v>
      </c>
      <c r="C161" s="9" t="s">
        <v>23</v>
      </c>
      <c r="D161" s="9" t="s">
        <v>23</v>
      </c>
      <c r="E161" s="9" t="s">
        <v>23</v>
      </c>
      <c r="F161" s="9" t="s">
        <v>23</v>
      </c>
    </row>
    <row r="162" spans="1:6" ht="16" thickBot="1" x14ac:dyDescent="0.25">
      <c r="A162" s="19" t="s">
        <v>376</v>
      </c>
      <c r="B162" s="9">
        <v>181770</v>
      </c>
      <c r="C162" s="9">
        <v>180020</v>
      </c>
      <c r="D162" s="9">
        <v>173489</v>
      </c>
      <c r="E162" s="9">
        <v>167000</v>
      </c>
      <c r="F162" s="9">
        <v>160515</v>
      </c>
    </row>
    <row r="163" spans="1:6" ht="16" thickBot="1" x14ac:dyDescent="0.25">
      <c r="A163" s="19" t="s">
        <v>377</v>
      </c>
      <c r="B163" s="9" t="s">
        <v>23</v>
      </c>
      <c r="C163" s="9" t="s">
        <v>23</v>
      </c>
      <c r="D163" s="9" t="s">
        <v>23</v>
      </c>
      <c r="E163" s="9" t="s">
        <v>23</v>
      </c>
      <c r="F163" s="9" t="s">
        <v>23</v>
      </c>
    </row>
    <row r="164" spans="1:6" ht="16" thickBot="1" x14ac:dyDescent="0.25">
      <c r="A164" s="19" t="s">
        <v>378</v>
      </c>
      <c r="B164" s="9" t="s">
        <v>23</v>
      </c>
      <c r="C164" s="9" t="s">
        <v>23</v>
      </c>
      <c r="D164" s="9" t="s">
        <v>23</v>
      </c>
      <c r="E164" s="9" t="s">
        <v>23</v>
      </c>
      <c r="F164" s="9" t="s">
        <v>23</v>
      </c>
    </row>
    <row r="165" spans="1:6" ht="16" thickBot="1" x14ac:dyDescent="0.25">
      <c r="A165" s="19" t="s">
        <v>379</v>
      </c>
      <c r="B165" s="9" t="s">
        <v>23</v>
      </c>
      <c r="C165" s="9" t="s">
        <v>23</v>
      </c>
      <c r="D165" s="9" t="s">
        <v>23</v>
      </c>
      <c r="E165" s="9" t="s">
        <v>23</v>
      </c>
      <c r="F165" s="9" t="s">
        <v>23</v>
      </c>
    </row>
    <row r="166" spans="1:6" ht="16" thickBot="1" x14ac:dyDescent="0.25">
      <c r="A166" s="19" t="s">
        <v>380</v>
      </c>
      <c r="B166" s="9">
        <v>-59647</v>
      </c>
      <c r="C166" s="9">
        <v>-63704</v>
      </c>
      <c r="D166" s="9">
        <v>-55067</v>
      </c>
      <c r="E166" s="9">
        <v>-53109</v>
      </c>
      <c r="F166" s="9">
        <v>-44149</v>
      </c>
    </row>
    <row r="167" spans="1:6" ht="16" thickBot="1" x14ac:dyDescent="0.25">
      <c r="A167" s="19" t="s">
        <v>381</v>
      </c>
      <c r="B167" s="9">
        <v>84477</v>
      </c>
      <c r="C167" s="9">
        <v>67915</v>
      </c>
      <c r="D167" s="9">
        <v>52554</v>
      </c>
      <c r="E167" s="9">
        <v>38982</v>
      </c>
      <c r="F167" s="9">
        <v>42483</v>
      </c>
    </row>
    <row r="168" spans="1:6" ht="16" thickBot="1" x14ac:dyDescent="0.25">
      <c r="A168" s="19" t="s">
        <v>382</v>
      </c>
      <c r="B168" s="9" t="s">
        <v>23</v>
      </c>
      <c r="C168" s="9" t="s">
        <v>23</v>
      </c>
      <c r="D168" s="9" t="s">
        <v>23</v>
      </c>
      <c r="E168" s="9" t="s">
        <v>23</v>
      </c>
      <c r="F168" s="9" t="s">
        <v>23</v>
      </c>
    </row>
    <row r="169" spans="1:6" ht="16" thickBot="1" x14ac:dyDescent="0.25">
      <c r="A169" s="19" t="s">
        <v>383</v>
      </c>
      <c r="B169" s="9" t="s">
        <v>23</v>
      </c>
      <c r="C169" s="9" t="s">
        <v>23</v>
      </c>
      <c r="D169" s="9" t="s">
        <v>23</v>
      </c>
      <c r="E169" s="9" t="s">
        <v>23</v>
      </c>
      <c r="F169" s="9" t="s">
        <v>23</v>
      </c>
    </row>
    <row r="170" spans="1:6" ht="16" thickBot="1" x14ac:dyDescent="0.25">
      <c r="A170" s="19" t="s">
        <v>384</v>
      </c>
      <c r="B170" s="9" t="s">
        <v>23</v>
      </c>
      <c r="C170" s="9" t="s">
        <v>23</v>
      </c>
      <c r="D170" s="9" t="s">
        <v>23</v>
      </c>
      <c r="E170" s="9" t="s">
        <v>23</v>
      </c>
      <c r="F170" s="9" t="s">
        <v>23</v>
      </c>
    </row>
    <row r="171" spans="1:6" ht="16" thickBot="1" x14ac:dyDescent="0.25">
      <c r="A171" s="19" t="s">
        <v>385</v>
      </c>
      <c r="B171" s="9" t="s">
        <v>23</v>
      </c>
      <c r="C171" s="9" t="s">
        <v>23</v>
      </c>
      <c r="D171" s="9" t="s">
        <v>23</v>
      </c>
      <c r="E171" s="9" t="s">
        <v>23</v>
      </c>
      <c r="F171" s="9" t="s">
        <v>23</v>
      </c>
    </row>
    <row r="172" spans="1:6" ht="16" thickBot="1" x14ac:dyDescent="0.25">
      <c r="A172" s="19" t="s">
        <v>386</v>
      </c>
      <c r="B172" s="9" t="s">
        <v>23</v>
      </c>
      <c r="C172" s="9" t="s">
        <v>23</v>
      </c>
      <c r="D172" s="9" t="s">
        <v>23</v>
      </c>
      <c r="E172" s="9" t="s">
        <v>23</v>
      </c>
      <c r="F172" s="9" t="s">
        <v>23</v>
      </c>
    </row>
    <row r="173" spans="1:6" ht="16" thickBot="1" x14ac:dyDescent="0.25">
      <c r="A173" s="19" t="s">
        <v>387</v>
      </c>
      <c r="B173" s="11" t="s">
        <v>23</v>
      </c>
      <c r="C173" s="11" t="s">
        <v>23</v>
      </c>
      <c r="D173" s="11" t="s">
        <v>23</v>
      </c>
      <c r="E173" s="11" t="s">
        <v>23</v>
      </c>
      <c r="F173" s="11" t="s">
        <v>23</v>
      </c>
    </row>
    <row r="174" spans="1:6" ht="16" thickBot="1" x14ac:dyDescent="0.25">
      <c r="A174" s="19" t="s">
        <v>388</v>
      </c>
      <c r="B174" s="13" t="s">
        <v>23</v>
      </c>
      <c r="C174" s="13" t="s">
        <v>23</v>
      </c>
      <c r="D174" s="13" t="s">
        <v>23</v>
      </c>
      <c r="E174" s="13" t="s">
        <v>23</v>
      </c>
      <c r="F174" s="13" t="s">
        <v>23</v>
      </c>
    </row>
    <row r="175" spans="1:6" ht="16" thickBot="1" x14ac:dyDescent="0.25">
      <c r="A175" s="19" t="s">
        <v>389</v>
      </c>
      <c r="B175" s="13" t="s">
        <v>23</v>
      </c>
      <c r="C175" s="13" t="s">
        <v>23</v>
      </c>
      <c r="D175" s="13" t="s">
        <v>23</v>
      </c>
      <c r="E175" s="13" t="s">
        <v>23</v>
      </c>
      <c r="F175" s="13" t="s">
        <v>23</v>
      </c>
    </row>
    <row r="176" spans="1:6" ht="16" thickBot="1" x14ac:dyDescent="0.25">
      <c r="A176" s="19" t="s">
        <v>390</v>
      </c>
      <c r="B176" s="9" t="s">
        <v>23</v>
      </c>
      <c r="C176" s="9" t="s">
        <v>23</v>
      </c>
      <c r="D176" s="9" t="s">
        <v>23</v>
      </c>
      <c r="E176" s="9" t="s">
        <v>23</v>
      </c>
      <c r="F176" s="9" t="s">
        <v>23</v>
      </c>
    </row>
    <row r="177" spans="1:6" ht="16" thickBot="1" x14ac:dyDescent="0.25">
      <c r="A177" s="19" t="s">
        <v>391</v>
      </c>
      <c r="B177" s="9" t="s">
        <v>23</v>
      </c>
      <c r="C177" s="9" t="s">
        <v>23</v>
      </c>
      <c r="D177" s="9" t="s">
        <v>23</v>
      </c>
      <c r="E177" s="9" t="s">
        <v>23</v>
      </c>
      <c r="F177" s="9" t="s">
        <v>23</v>
      </c>
    </row>
    <row r="178" spans="1:6" ht="16" thickBot="1" x14ac:dyDescent="0.25">
      <c r="A178" s="19" t="s">
        <v>392</v>
      </c>
      <c r="B178" s="9" t="s">
        <v>23</v>
      </c>
      <c r="C178" s="9" t="s">
        <v>23</v>
      </c>
      <c r="D178" s="9" t="s">
        <v>23</v>
      </c>
      <c r="E178" s="9" t="s">
        <v>23</v>
      </c>
      <c r="F178" s="9" t="s">
        <v>23</v>
      </c>
    </row>
    <row r="179" spans="1:6" x14ac:dyDescent="0.2">
      <c r="A179" s="19" t="s">
        <v>164</v>
      </c>
      <c r="B179" s="9" t="s">
        <v>23</v>
      </c>
      <c r="C179" s="9" t="s">
        <v>23</v>
      </c>
      <c r="D179" s="9" t="s">
        <v>23</v>
      </c>
      <c r="E179" s="9" t="s">
        <v>23</v>
      </c>
      <c r="F179" s="9" t="s">
        <v>23</v>
      </c>
    </row>
    <row r="180" spans="1:6" ht="12" customHeight="1" thickBot="1" x14ac:dyDescent="0.25">
      <c r="A180" s="12" t="s">
        <v>393</v>
      </c>
      <c r="B180" s="12"/>
      <c r="C180" s="12"/>
      <c r="D180" s="12"/>
      <c r="E180" s="12"/>
      <c r="F180" s="12"/>
    </row>
    <row r="181" spans="1:6" ht="16" thickBot="1" x14ac:dyDescent="0.25">
      <c r="A181" s="17" t="s">
        <v>394</v>
      </c>
      <c r="B181" s="7">
        <v>63910</v>
      </c>
      <c r="C181" s="7">
        <v>67407</v>
      </c>
      <c r="D181" s="7">
        <v>72781</v>
      </c>
      <c r="E181" s="7">
        <v>76898</v>
      </c>
      <c r="F181" s="7" t="s">
        <v>23</v>
      </c>
    </row>
    <row r="182" spans="1:6" ht="16" thickBot="1" x14ac:dyDescent="0.25">
      <c r="A182" s="18" t="s">
        <v>395</v>
      </c>
      <c r="B182" s="8">
        <v>8075</v>
      </c>
      <c r="C182" s="8">
        <v>3750</v>
      </c>
      <c r="D182" s="8">
        <v>5518</v>
      </c>
      <c r="E182" s="8">
        <v>4000</v>
      </c>
      <c r="F182" s="8" t="s">
        <v>23</v>
      </c>
    </row>
    <row r="183" spans="1:6" ht="16" thickBot="1" x14ac:dyDescent="0.25">
      <c r="A183" s="18" t="s">
        <v>396</v>
      </c>
      <c r="B183" s="8">
        <v>2750</v>
      </c>
      <c r="C183" s="8">
        <v>7966</v>
      </c>
      <c r="D183" s="8">
        <v>3750</v>
      </c>
      <c r="E183" s="8">
        <v>5518</v>
      </c>
      <c r="F183" s="8" t="s">
        <v>23</v>
      </c>
    </row>
    <row r="184" spans="1:6" ht="16" thickBot="1" x14ac:dyDescent="0.25">
      <c r="A184" s="18" t="s">
        <v>397</v>
      </c>
      <c r="B184" s="8">
        <v>5250</v>
      </c>
      <c r="C184" s="8">
        <v>2750</v>
      </c>
      <c r="D184" s="8">
        <v>7994</v>
      </c>
      <c r="E184" s="8">
        <v>3750</v>
      </c>
      <c r="F184" s="8" t="s">
        <v>23</v>
      </c>
    </row>
    <row r="185" spans="1:6" ht="16" thickBot="1" x14ac:dyDescent="0.25">
      <c r="A185" s="18" t="s">
        <v>398</v>
      </c>
      <c r="B185" s="8">
        <v>2250</v>
      </c>
      <c r="C185" s="8">
        <v>5250</v>
      </c>
      <c r="D185" s="8">
        <v>2750</v>
      </c>
      <c r="E185" s="8">
        <v>8044</v>
      </c>
      <c r="F185" s="8" t="s">
        <v>23</v>
      </c>
    </row>
    <row r="186" spans="1:6" ht="16" thickBot="1" x14ac:dyDescent="0.25">
      <c r="A186" s="18" t="s">
        <v>399</v>
      </c>
      <c r="B186" s="8">
        <v>3000</v>
      </c>
      <c r="C186" s="8">
        <v>2250</v>
      </c>
      <c r="D186" s="8">
        <v>5250</v>
      </c>
      <c r="E186" s="8">
        <v>2750</v>
      </c>
      <c r="F186" s="8" t="s">
        <v>23</v>
      </c>
    </row>
    <row r="187" spans="1:6" ht="16" thickBot="1" x14ac:dyDescent="0.25">
      <c r="A187" s="18" t="s">
        <v>400</v>
      </c>
      <c r="B187" s="8">
        <v>8000</v>
      </c>
      <c r="C187" s="8">
        <v>10716</v>
      </c>
      <c r="D187" s="8">
        <v>11744</v>
      </c>
      <c r="E187" s="8">
        <v>9268</v>
      </c>
      <c r="F187" s="8" t="s">
        <v>23</v>
      </c>
    </row>
    <row r="188" spans="1:6" ht="16" thickBot="1" x14ac:dyDescent="0.25">
      <c r="A188" s="18" t="s">
        <v>401</v>
      </c>
      <c r="B188" s="8">
        <v>5250</v>
      </c>
      <c r="C188" s="8">
        <v>7500</v>
      </c>
      <c r="D188" s="8">
        <v>8000</v>
      </c>
      <c r="E188" s="8">
        <v>10794</v>
      </c>
      <c r="F188" s="8" t="s">
        <v>23</v>
      </c>
    </row>
    <row r="189" spans="1:6" ht="16" thickBot="1" x14ac:dyDescent="0.25">
      <c r="A189" s="18" t="s">
        <v>402</v>
      </c>
      <c r="B189" s="8">
        <v>42585</v>
      </c>
      <c r="C189" s="8">
        <v>45441</v>
      </c>
      <c r="D189" s="8">
        <v>47519</v>
      </c>
      <c r="E189" s="8">
        <v>52836</v>
      </c>
      <c r="F189" s="8" t="s">
        <v>23</v>
      </c>
    </row>
    <row r="190" spans="1:6" ht="16" thickBot="1" x14ac:dyDescent="0.25">
      <c r="A190" s="17" t="s">
        <v>403</v>
      </c>
      <c r="B190" s="7">
        <v>12541</v>
      </c>
      <c r="C190" s="7">
        <v>9496</v>
      </c>
      <c r="D190" s="7">
        <v>6574</v>
      </c>
      <c r="E190" s="7">
        <v>4301</v>
      </c>
      <c r="F190" s="7" t="s">
        <v>23</v>
      </c>
    </row>
    <row r="191" spans="1:6" ht="16" thickBot="1" x14ac:dyDescent="0.25">
      <c r="A191" s="18" t="s">
        <v>404</v>
      </c>
      <c r="B191" s="8">
        <v>-2660</v>
      </c>
      <c r="C191" s="8">
        <v>-2527</v>
      </c>
      <c r="D191" s="8">
        <v>-2202</v>
      </c>
      <c r="E191" s="8">
        <v>-1733</v>
      </c>
      <c r="F191" s="8" t="s">
        <v>23</v>
      </c>
    </row>
    <row r="192" spans="1:6" ht="16" thickBot="1" x14ac:dyDescent="0.25">
      <c r="A192" s="18" t="s">
        <v>405</v>
      </c>
      <c r="B192" s="8">
        <v>1179</v>
      </c>
      <c r="C192" s="8">
        <v>880</v>
      </c>
      <c r="D192" s="8">
        <v>591</v>
      </c>
      <c r="E192" s="8">
        <v>386</v>
      </c>
      <c r="F192" s="8" t="s">
        <v>23</v>
      </c>
    </row>
    <row r="193" spans="1:6" ht="16" thickBot="1" x14ac:dyDescent="0.25">
      <c r="A193" s="18" t="s">
        <v>406</v>
      </c>
      <c r="B193" s="8">
        <v>1198</v>
      </c>
      <c r="C193" s="8">
        <v>894</v>
      </c>
      <c r="D193" s="8">
        <v>616</v>
      </c>
      <c r="E193" s="8">
        <v>393</v>
      </c>
      <c r="F193" s="8" t="s">
        <v>23</v>
      </c>
    </row>
    <row r="194" spans="1:6" ht="16" thickBot="1" x14ac:dyDescent="0.25">
      <c r="A194" s="18" t="s">
        <v>407</v>
      </c>
      <c r="B194" s="8">
        <v>1211</v>
      </c>
      <c r="C194" s="8">
        <v>903</v>
      </c>
      <c r="D194" s="8">
        <v>626</v>
      </c>
      <c r="E194" s="8">
        <v>401</v>
      </c>
      <c r="F194" s="8" t="s">
        <v>23</v>
      </c>
    </row>
    <row r="195" spans="1:6" ht="16" thickBot="1" x14ac:dyDescent="0.25">
      <c r="A195" s="18" t="s">
        <v>408</v>
      </c>
      <c r="B195" s="8">
        <v>1537</v>
      </c>
      <c r="C195" s="8">
        <v>916</v>
      </c>
      <c r="D195" s="8">
        <v>631</v>
      </c>
      <c r="E195" s="8">
        <v>408</v>
      </c>
      <c r="F195" s="8" t="s">
        <v>23</v>
      </c>
    </row>
    <row r="196" spans="1:6" ht="16" thickBot="1" x14ac:dyDescent="0.25">
      <c r="A196" s="18" t="s">
        <v>409</v>
      </c>
      <c r="B196" s="8">
        <v>1220</v>
      </c>
      <c r="C196" s="8">
        <v>1236</v>
      </c>
      <c r="D196" s="8">
        <v>641</v>
      </c>
      <c r="E196" s="8">
        <v>410</v>
      </c>
      <c r="F196" s="8" t="s">
        <v>23</v>
      </c>
    </row>
    <row r="197" spans="1:6" ht="16" thickBot="1" x14ac:dyDescent="0.25">
      <c r="A197" s="18" t="s">
        <v>410</v>
      </c>
      <c r="B197" s="8">
        <v>2409</v>
      </c>
      <c r="C197" s="8">
        <v>1797</v>
      </c>
      <c r="D197" s="8">
        <v>1242</v>
      </c>
      <c r="E197" s="8">
        <v>794</v>
      </c>
      <c r="F197" s="8" t="s">
        <v>23</v>
      </c>
    </row>
    <row r="198" spans="1:6" ht="16" thickBot="1" x14ac:dyDescent="0.25">
      <c r="A198" s="18" t="s">
        <v>411</v>
      </c>
      <c r="B198" s="8">
        <v>2757</v>
      </c>
      <c r="C198" s="8">
        <v>2152</v>
      </c>
      <c r="D198" s="8">
        <v>1272</v>
      </c>
      <c r="E198" s="8">
        <v>818</v>
      </c>
      <c r="F198" s="8" t="s">
        <v>23</v>
      </c>
    </row>
    <row r="199" spans="1:6" ht="16" thickBot="1" x14ac:dyDescent="0.25">
      <c r="A199" s="18" t="s">
        <v>412</v>
      </c>
      <c r="B199" s="8">
        <v>8856</v>
      </c>
      <c r="C199" s="8">
        <v>7194</v>
      </c>
      <c r="D199" s="8">
        <v>5671</v>
      </c>
      <c r="E199" s="8">
        <v>4036</v>
      </c>
      <c r="F199" s="8" t="s">
        <v>23</v>
      </c>
    </row>
    <row r="200" spans="1:6" ht="16" thickBot="1" x14ac:dyDescent="0.25">
      <c r="A200" s="17" t="s">
        <v>413</v>
      </c>
      <c r="B200" s="7">
        <v>11591</v>
      </c>
      <c r="C200" s="7">
        <v>9287</v>
      </c>
      <c r="D200" s="7">
        <v>7703</v>
      </c>
      <c r="E200" s="7">
        <v>6967</v>
      </c>
      <c r="F200" s="7" t="s">
        <v>23</v>
      </c>
    </row>
    <row r="201" spans="1:6" ht="16" thickBot="1" x14ac:dyDescent="0.25">
      <c r="A201" s="18" t="s">
        <v>414</v>
      </c>
      <c r="B201" s="8">
        <v>2125</v>
      </c>
      <c r="C201" s="8">
        <v>1807</v>
      </c>
      <c r="D201" s="8">
        <v>1678</v>
      </c>
      <c r="E201" s="8">
        <v>1492</v>
      </c>
      <c r="F201" s="8" t="s">
        <v>23</v>
      </c>
    </row>
    <row r="202" spans="1:6" ht="16" thickBot="1" x14ac:dyDescent="0.25">
      <c r="A202" s="18" t="s">
        <v>415</v>
      </c>
      <c r="B202" s="8">
        <v>1954</v>
      </c>
      <c r="C202" s="8">
        <v>1652</v>
      </c>
      <c r="D202" s="8">
        <v>1438</v>
      </c>
      <c r="E202" s="8">
        <v>1347</v>
      </c>
      <c r="F202" s="8" t="s">
        <v>23</v>
      </c>
    </row>
    <row r="203" spans="1:6" ht="16" thickBot="1" x14ac:dyDescent="0.25">
      <c r="A203" s="18" t="s">
        <v>416</v>
      </c>
      <c r="B203" s="8">
        <v>1751</v>
      </c>
      <c r="C203" s="8">
        <v>1474</v>
      </c>
      <c r="D203" s="8">
        <v>1235</v>
      </c>
      <c r="E203" s="8">
        <v>1086</v>
      </c>
      <c r="F203" s="8" t="s">
        <v>23</v>
      </c>
    </row>
    <row r="204" spans="1:6" ht="16" thickBot="1" x14ac:dyDescent="0.25">
      <c r="A204" s="18" t="s">
        <v>417</v>
      </c>
      <c r="B204" s="8">
        <v>1463</v>
      </c>
      <c r="C204" s="8">
        <v>1262</v>
      </c>
      <c r="D204" s="8">
        <v>1036</v>
      </c>
      <c r="E204" s="8">
        <v>902</v>
      </c>
      <c r="F204" s="8" t="s">
        <v>23</v>
      </c>
    </row>
    <row r="205" spans="1:6" ht="16" thickBot="1" x14ac:dyDescent="0.25">
      <c r="A205" s="18" t="s">
        <v>418</v>
      </c>
      <c r="B205" s="8">
        <v>1133</v>
      </c>
      <c r="C205" s="8">
        <v>1000</v>
      </c>
      <c r="D205" s="8">
        <v>839</v>
      </c>
      <c r="E205" s="8">
        <v>721</v>
      </c>
      <c r="F205" s="8" t="s">
        <v>23</v>
      </c>
    </row>
    <row r="206" spans="1:6" ht="16" thickBot="1" x14ac:dyDescent="0.25">
      <c r="A206" s="18" t="s">
        <v>419</v>
      </c>
      <c r="B206" s="8">
        <v>3705</v>
      </c>
      <c r="C206" s="8">
        <v>3126</v>
      </c>
      <c r="D206" s="8">
        <v>2673</v>
      </c>
      <c r="E206" s="8">
        <v>2433</v>
      </c>
      <c r="F206" s="8" t="s">
        <v>23</v>
      </c>
    </row>
    <row r="207" spans="1:6" ht="16" thickBot="1" x14ac:dyDescent="0.25">
      <c r="A207" s="18" t="s">
        <v>420</v>
      </c>
      <c r="B207" s="8">
        <v>2596</v>
      </c>
      <c r="C207" s="8">
        <v>2262</v>
      </c>
      <c r="D207" s="8">
        <v>1875</v>
      </c>
      <c r="E207" s="8">
        <v>1623</v>
      </c>
      <c r="F207" s="8" t="s">
        <v>23</v>
      </c>
    </row>
    <row r="208" spans="1:6" ht="16" thickBot="1" x14ac:dyDescent="0.25">
      <c r="A208" s="18" t="s">
        <v>421</v>
      </c>
      <c r="B208" s="8">
        <v>3165</v>
      </c>
      <c r="C208" s="8">
        <v>2092</v>
      </c>
      <c r="D208" s="8">
        <v>1477</v>
      </c>
      <c r="E208" s="8">
        <v>1419</v>
      </c>
      <c r="F208" s="8" t="s">
        <v>23</v>
      </c>
    </row>
    <row r="209" spans="1:6" ht="16" thickBot="1" x14ac:dyDescent="0.25">
      <c r="A209" s="19" t="s">
        <v>422</v>
      </c>
      <c r="B209" s="9">
        <v>-946</v>
      </c>
      <c r="C209" s="9">
        <v>-1030</v>
      </c>
      <c r="D209" s="9">
        <v>-961</v>
      </c>
      <c r="E209" s="9">
        <v>-738</v>
      </c>
      <c r="F209" s="9" t="s">
        <v>23</v>
      </c>
    </row>
    <row r="210" spans="1:6" ht="16" thickBot="1" x14ac:dyDescent="0.25">
      <c r="A210" s="19" t="s">
        <v>423</v>
      </c>
      <c r="B210" s="9" t="s">
        <v>23</v>
      </c>
      <c r="C210" s="9" t="s">
        <v>23</v>
      </c>
      <c r="D210" s="9" t="s">
        <v>23</v>
      </c>
      <c r="E210" s="9" t="s">
        <v>23</v>
      </c>
      <c r="F210" s="9" t="s">
        <v>23</v>
      </c>
    </row>
    <row r="211" spans="1:6" ht="16" thickBot="1" x14ac:dyDescent="0.25">
      <c r="A211" s="19" t="s">
        <v>424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</row>
    <row r="212" spans="1:6" ht="16" thickBot="1" x14ac:dyDescent="0.25">
      <c r="A212" s="19" t="s">
        <v>425</v>
      </c>
      <c r="B212" s="9" t="s">
        <v>23</v>
      </c>
      <c r="C212" s="9" t="s">
        <v>23</v>
      </c>
      <c r="D212" s="9" t="s">
        <v>23</v>
      </c>
      <c r="E212" s="9" t="s">
        <v>23</v>
      </c>
      <c r="F212" s="9" t="s">
        <v>23</v>
      </c>
    </row>
    <row r="213" spans="1:6" ht="16" thickBot="1" x14ac:dyDescent="0.25">
      <c r="A213" s="19" t="s">
        <v>426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</row>
    <row r="214" spans="1:6" ht="16" thickBot="1" x14ac:dyDescent="0.25">
      <c r="A214" s="19" t="s">
        <v>427</v>
      </c>
      <c r="B214" s="9" t="s">
        <v>23</v>
      </c>
      <c r="C214" s="9" t="s">
        <v>23</v>
      </c>
      <c r="D214" s="9" t="s">
        <v>23</v>
      </c>
      <c r="E214" s="9" t="s">
        <v>23</v>
      </c>
      <c r="F214" s="9" t="s">
        <v>23</v>
      </c>
    </row>
    <row r="215" spans="1:6" x14ac:dyDescent="0.2">
      <c r="A215" s="19" t="s">
        <v>428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047"/>
  <sheetViews>
    <sheetView showGridLines="0" topLeftCell="A947" zoomScale="125" zoomScaleNormal="125" workbookViewId="0">
      <selection activeCell="B983" sqref="B983"/>
    </sheetView>
  </sheetViews>
  <sheetFormatPr baseColWidth="10" defaultColWidth="8.83203125" defaultRowHeight="15" x14ac:dyDescent="0.2"/>
  <cols>
    <col min="3" max="3" width="8.5" bestFit="1" customWidth="1"/>
    <col min="4" max="4" width="9.1640625" bestFit="1" customWidth="1"/>
    <col min="5" max="5" width="8.6640625" bestFit="1" customWidth="1"/>
    <col min="6" max="6" width="12.83203125" bestFit="1" customWidth="1"/>
    <col min="12" max="12" width="15.5" bestFit="1" customWidth="1"/>
    <col min="14" max="14" width="9.6640625" bestFit="1" customWidth="1"/>
  </cols>
  <sheetData>
    <row r="2" spans="3:15" x14ac:dyDescent="0.2">
      <c r="I2" s="98" t="s">
        <v>490</v>
      </c>
      <c r="J2" s="98"/>
    </row>
    <row r="3" spans="3:15" x14ac:dyDescent="0.2">
      <c r="C3" s="97" t="s">
        <v>463</v>
      </c>
      <c r="D3" s="97" t="s">
        <v>464</v>
      </c>
      <c r="E3" s="97" t="s">
        <v>476</v>
      </c>
      <c r="F3" s="97" t="s">
        <v>460</v>
      </c>
      <c r="G3" s="44"/>
      <c r="I3" s="99" t="s">
        <v>464</v>
      </c>
      <c r="J3" s="99" t="s">
        <v>476</v>
      </c>
    </row>
    <row r="4" spans="3:15" x14ac:dyDescent="0.2">
      <c r="C4" s="21">
        <v>43140</v>
      </c>
      <c r="D4">
        <v>88.18</v>
      </c>
      <c r="E4">
        <v>2619.5500000000002</v>
      </c>
      <c r="F4">
        <v>63499.1</v>
      </c>
      <c r="I4" s="100"/>
      <c r="J4" s="100"/>
      <c r="K4" s="38"/>
      <c r="L4" s="102" t="s">
        <v>491</v>
      </c>
      <c r="M4" s="102"/>
      <c r="N4" s="101">
        <f>SLOPE(I5:I1047,J5:J1047)</f>
        <v>1.1886839364737112</v>
      </c>
      <c r="O4" s="103"/>
    </row>
    <row r="5" spans="3:15" x14ac:dyDescent="0.2">
      <c r="C5" s="21">
        <v>43143</v>
      </c>
      <c r="D5">
        <v>89.13</v>
      </c>
      <c r="E5">
        <v>2656</v>
      </c>
      <c r="F5">
        <v>35720.300000000003</v>
      </c>
      <c r="I5" s="95">
        <f>D5/D4-1</f>
        <v>1.0773418008618529E-2</v>
      </c>
      <c r="J5" s="95">
        <f t="shared" ref="J5:J68" si="0">E5/E4-1</f>
        <v>1.3914603653299107E-2</v>
      </c>
      <c r="K5" s="37"/>
      <c r="L5" s="20"/>
    </row>
    <row r="6" spans="3:15" x14ac:dyDescent="0.2">
      <c r="C6" s="21">
        <v>43144</v>
      </c>
      <c r="D6">
        <v>89.83</v>
      </c>
      <c r="E6">
        <v>2662.94</v>
      </c>
      <c r="F6">
        <v>26407.7</v>
      </c>
      <c r="I6" s="95">
        <f t="shared" ref="I6:I69" si="1">D6/D5-1</f>
        <v>7.8536968473017499E-3</v>
      </c>
      <c r="J6" s="95">
        <f t="shared" si="0"/>
        <v>2.6129518072288693E-3</v>
      </c>
      <c r="K6" s="37"/>
    </row>
    <row r="7" spans="3:15" x14ac:dyDescent="0.2">
      <c r="C7" s="21">
        <v>43145</v>
      </c>
      <c r="D7">
        <v>90.81</v>
      </c>
      <c r="E7">
        <v>2698.63</v>
      </c>
      <c r="F7">
        <v>34960.9</v>
      </c>
      <c r="I7" s="95">
        <f t="shared" si="1"/>
        <v>1.0909495714126693E-2</v>
      </c>
      <c r="J7" s="95">
        <f t="shared" si="0"/>
        <v>1.3402479965752168E-2</v>
      </c>
      <c r="K7" s="37"/>
    </row>
    <row r="8" spans="3:15" x14ac:dyDescent="0.2">
      <c r="C8" s="21">
        <v>43146</v>
      </c>
      <c r="D8">
        <v>92.66</v>
      </c>
      <c r="E8">
        <v>2731.2</v>
      </c>
      <c r="F8">
        <v>27823.9</v>
      </c>
      <c r="I8" s="95">
        <f t="shared" si="1"/>
        <v>2.0372205704217494E-2</v>
      </c>
      <c r="J8" s="95">
        <f t="shared" si="0"/>
        <v>1.20690869070601E-2</v>
      </c>
      <c r="K8" s="37"/>
    </row>
    <row r="9" spans="3:15" x14ac:dyDescent="0.2">
      <c r="C9" s="21">
        <v>43147</v>
      </c>
      <c r="D9">
        <v>92</v>
      </c>
      <c r="E9">
        <v>2732.22</v>
      </c>
      <c r="F9">
        <v>30596.9</v>
      </c>
      <c r="I9" s="95">
        <f t="shared" si="1"/>
        <v>-7.1228145909777441E-3</v>
      </c>
      <c r="J9" s="95">
        <f t="shared" si="0"/>
        <v>3.7346221441114658E-4</v>
      </c>
      <c r="K9" s="37"/>
    </row>
    <row r="10" spans="3:15" x14ac:dyDescent="0.2">
      <c r="C10" s="21">
        <v>43150</v>
      </c>
      <c r="D10">
        <v>92</v>
      </c>
      <c r="E10">
        <v>2732.22</v>
      </c>
      <c r="F10" t="e">
        <v>#N/A</v>
      </c>
      <c r="I10" s="95">
        <f t="shared" si="1"/>
        <v>0</v>
      </c>
      <c r="J10" s="95">
        <f t="shared" si="0"/>
        <v>0</v>
      </c>
      <c r="K10" s="37"/>
    </row>
    <row r="11" spans="3:15" x14ac:dyDescent="0.2">
      <c r="C11" s="21">
        <v>43151</v>
      </c>
      <c r="D11">
        <v>92.72</v>
      </c>
      <c r="E11">
        <v>2716.26</v>
      </c>
      <c r="F11">
        <v>30911.7</v>
      </c>
      <c r="I11" s="95">
        <f t="shared" si="1"/>
        <v>7.8260869565216495E-3</v>
      </c>
      <c r="J11" s="95">
        <f t="shared" si="0"/>
        <v>-5.841403693699454E-3</v>
      </c>
      <c r="K11" s="37"/>
    </row>
    <row r="12" spans="3:15" x14ac:dyDescent="0.2">
      <c r="C12" s="21">
        <v>43152</v>
      </c>
      <c r="D12">
        <v>91.49</v>
      </c>
      <c r="E12">
        <v>2701.33</v>
      </c>
      <c r="F12">
        <v>26922.5</v>
      </c>
      <c r="I12" s="95">
        <f t="shared" si="1"/>
        <v>-1.326574633304578E-2</v>
      </c>
      <c r="J12" s="95">
        <f t="shared" si="0"/>
        <v>-5.4965283146680699E-3</v>
      </c>
      <c r="K12" s="37"/>
    </row>
    <row r="13" spans="3:15" x14ac:dyDescent="0.2">
      <c r="C13" s="21">
        <v>43153</v>
      </c>
      <c r="D13">
        <v>91.73</v>
      </c>
      <c r="E13">
        <v>2703.96</v>
      </c>
      <c r="F13">
        <v>24392.799999999999</v>
      </c>
      <c r="I13" s="95">
        <f t="shared" si="1"/>
        <v>2.623237512296539E-3</v>
      </c>
      <c r="J13" s="95">
        <f t="shared" si="0"/>
        <v>9.7359448864087206E-4</v>
      </c>
      <c r="K13" s="37"/>
    </row>
    <row r="14" spans="3:15" x14ac:dyDescent="0.2">
      <c r="C14" s="21">
        <v>43154</v>
      </c>
      <c r="D14">
        <v>94.06</v>
      </c>
      <c r="E14">
        <v>2747.3</v>
      </c>
      <c r="F14">
        <v>26329.200000000001</v>
      </c>
      <c r="I14" s="95">
        <f t="shared" si="1"/>
        <v>2.5400632290417446E-2</v>
      </c>
      <c r="J14" s="95">
        <f t="shared" si="0"/>
        <v>1.6028343614550522E-2</v>
      </c>
      <c r="K14" s="37"/>
    </row>
    <row r="15" spans="3:15" x14ac:dyDescent="0.2">
      <c r="C15" s="21">
        <v>43157</v>
      </c>
      <c r="D15">
        <v>95.42</v>
      </c>
      <c r="E15">
        <v>2779.6</v>
      </c>
      <c r="F15">
        <v>30199.8</v>
      </c>
      <c r="I15" s="95">
        <f t="shared" si="1"/>
        <v>1.4458856049330171E-2</v>
      </c>
      <c r="J15" s="95">
        <f t="shared" si="0"/>
        <v>1.1756997779638123E-2</v>
      </c>
      <c r="K15" s="37"/>
    </row>
    <row r="16" spans="3:15" x14ac:dyDescent="0.2">
      <c r="C16" s="21">
        <v>43158</v>
      </c>
      <c r="D16">
        <v>94.2</v>
      </c>
      <c r="E16">
        <v>2744.28</v>
      </c>
      <c r="F16">
        <v>25869.1</v>
      </c>
      <c r="I16" s="95">
        <f t="shared" si="1"/>
        <v>-1.2785579543072689E-2</v>
      </c>
      <c r="J16" s="95">
        <f t="shared" si="0"/>
        <v>-1.2706864297021059E-2</v>
      </c>
      <c r="K16" s="37"/>
    </row>
    <row r="17" spans="3:11" x14ac:dyDescent="0.2">
      <c r="C17" s="21">
        <v>43159</v>
      </c>
      <c r="D17">
        <v>93.77</v>
      </c>
      <c r="E17">
        <v>2713.83</v>
      </c>
      <c r="F17">
        <v>31167.3</v>
      </c>
      <c r="I17" s="95">
        <f t="shared" si="1"/>
        <v>-4.5647558386412435E-3</v>
      </c>
      <c r="J17" s="95">
        <f t="shared" si="0"/>
        <v>-1.1095806550352139E-2</v>
      </c>
      <c r="K17" s="37"/>
    </row>
    <row r="18" spans="3:11" x14ac:dyDescent="0.2">
      <c r="C18" s="21">
        <v>43160</v>
      </c>
      <c r="D18">
        <v>92.85</v>
      </c>
      <c r="E18">
        <v>2677.67</v>
      </c>
      <c r="F18">
        <v>37135.599999999999</v>
      </c>
      <c r="I18" s="95">
        <f t="shared" si="1"/>
        <v>-9.8112402687426936E-3</v>
      </c>
      <c r="J18" s="95">
        <f t="shared" si="0"/>
        <v>-1.3324342350110263E-2</v>
      </c>
      <c r="K18" s="37"/>
    </row>
    <row r="19" spans="3:11" x14ac:dyDescent="0.2">
      <c r="C19" s="21">
        <v>43161</v>
      </c>
      <c r="D19">
        <v>93.05</v>
      </c>
      <c r="E19">
        <v>2691.25</v>
      </c>
      <c r="F19">
        <v>32830.400000000001</v>
      </c>
      <c r="I19" s="95">
        <f t="shared" si="1"/>
        <v>2.154011847065096E-3</v>
      </c>
      <c r="J19" s="95">
        <f t="shared" si="0"/>
        <v>5.0715734201749463E-3</v>
      </c>
      <c r="K19" s="37"/>
    </row>
    <row r="20" spans="3:11" x14ac:dyDescent="0.2">
      <c r="C20" s="21">
        <v>43164</v>
      </c>
      <c r="D20">
        <v>93.64</v>
      </c>
      <c r="E20">
        <v>2720.94</v>
      </c>
      <c r="F20">
        <v>23901.599999999999</v>
      </c>
      <c r="I20" s="95">
        <f t="shared" si="1"/>
        <v>6.3406770553466885E-3</v>
      </c>
      <c r="J20" s="95">
        <f t="shared" si="0"/>
        <v>1.1032048304691067E-2</v>
      </c>
      <c r="K20" s="37"/>
    </row>
    <row r="21" spans="3:11" x14ac:dyDescent="0.2">
      <c r="C21" s="21">
        <v>43165</v>
      </c>
      <c r="D21">
        <v>93.32</v>
      </c>
      <c r="E21">
        <v>2728.12</v>
      </c>
      <c r="F21">
        <v>22175.8</v>
      </c>
      <c r="I21" s="95">
        <f t="shared" si="1"/>
        <v>-3.4173430158053186E-3</v>
      </c>
      <c r="J21" s="95">
        <f t="shared" si="0"/>
        <v>2.6387939462098053E-3</v>
      </c>
      <c r="K21" s="37"/>
    </row>
    <row r="22" spans="3:11" x14ac:dyDescent="0.2">
      <c r="C22" s="21">
        <v>43166</v>
      </c>
      <c r="D22">
        <v>93.86</v>
      </c>
      <c r="E22">
        <v>2726.8</v>
      </c>
      <c r="F22">
        <v>26716.1</v>
      </c>
      <c r="I22" s="95">
        <f t="shared" si="1"/>
        <v>5.7865409344193264E-3</v>
      </c>
      <c r="J22" s="95">
        <f t="shared" si="0"/>
        <v>-4.8384968403136774E-4</v>
      </c>
      <c r="K22" s="37"/>
    </row>
    <row r="23" spans="3:11" x14ac:dyDescent="0.2">
      <c r="C23" s="21">
        <v>43167</v>
      </c>
      <c r="D23">
        <v>94.43</v>
      </c>
      <c r="E23">
        <v>2738.97</v>
      </c>
      <c r="F23">
        <v>25887.8</v>
      </c>
      <c r="I23" s="95">
        <f t="shared" si="1"/>
        <v>6.0728744939271273E-3</v>
      </c>
      <c r="J23" s="95">
        <f t="shared" si="0"/>
        <v>4.4631069385359101E-3</v>
      </c>
      <c r="K23" s="37"/>
    </row>
    <row r="24" spans="3:11" x14ac:dyDescent="0.2">
      <c r="C24" s="21">
        <v>43168</v>
      </c>
      <c r="D24">
        <v>96.54</v>
      </c>
      <c r="E24">
        <v>2786.57</v>
      </c>
      <c r="F24">
        <v>36937.300000000003</v>
      </c>
      <c r="I24" s="95">
        <f t="shared" si="1"/>
        <v>2.2344593879063845E-2</v>
      </c>
      <c r="J24" s="95">
        <f t="shared" si="0"/>
        <v>1.7378795678667736E-2</v>
      </c>
      <c r="K24" s="37"/>
    </row>
    <row r="25" spans="3:11" x14ac:dyDescent="0.2">
      <c r="C25" s="21">
        <v>43171</v>
      </c>
      <c r="D25">
        <v>96.77</v>
      </c>
      <c r="E25">
        <v>2783.02</v>
      </c>
      <c r="F25">
        <v>26073.7</v>
      </c>
      <c r="I25" s="95">
        <f t="shared" si="1"/>
        <v>2.3824321524754666E-3</v>
      </c>
      <c r="J25" s="95">
        <f t="shared" si="0"/>
        <v>-1.273967637633433E-3</v>
      </c>
      <c r="K25" s="37"/>
    </row>
    <row r="26" spans="3:11" x14ac:dyDescent="0.2">
      <c r="C26" s="21">
        <v>43172</v>
      </c>
      <c r="D26">
        <v>94.41</v>
      </c>
      <c r="E26">
        <v>2765.31</v>
      </c>
      <c r="F26">
        <v>35387.800000000003</v>
      </c>
      <c r="I26" s="95">
        <f t="shared" si="1"/>
        <v>-2.4387723468016986E-2</v>
      </c>
      <c r="J26" s="95">
        <f t="shared" si="0"/>
        <v>-6.3635906317597302E-3</v>
      </c>
      <c r="K26" s="37"/>
    </row>
    <row r="27" spans="3:11" x14ac:dyDescent="0.2">
      <c r="C27" s="21">
        <v>43173</v>
      </c>
      <c r="D27">
        <v>93.85</v>
      </c>
      <c r="E27">
        <v>2749.48</v>
      </c>
      <c r="F27">
        <v>32132</v>
      </c>
      <c r="I27" s="95">
        <f t="shared" si="1"/>
        <v>-5.9315750450164018E-3</v>
      </c>
      <c r="J27" s="95">
        <f t="shared" si="0"/>
        <v>-5.7244938180529559E-3</v>
      </c>
      <c r="K27" s="37"/>
    </row>
    <row r="28" spans="3:11" x14ac:dyDescent="0.2">
      <c r="C28" s="21">
        <v>43174</v>
      </c>
      <c r="D28">
        <v>94.18</v>
      </c>
      <c r="E28">
        <v>2747.33</v>
      </c>
      <c r="F28">
        <v>27611</v>
      </c>
      <c r="I28" s="95">
        <f t="shared" si="1"/>
        <v>3.5162493340439305E-3</v>
      </c>
      <c r="J28" s="95">
        <f t="shared" si="0"/>
        <v>-7.8196604448843576E-4</v>
      </c>
      <c r="K28" s="37"/>
    </row>
    <row r="29" spans="3:11" x14ac:dyDescent="0.2">
      <c r="C29" s="21">
        <v>43175</v>
      </c>
      <c r="D29">
        <v>94.6</v>
      </c>
      <c r="E29">
        <v>2752.01</v>
      </c>
      <c r="F29">
        <v>49081.3</v>
      </c>
      <c r="I29" s="95">
        <f t="shared" si="1"/>
        <v>4.4595455510723081E-3</v>
      </c>
      <c r="J29" s="95">
        <f t="shared" si="0"/>
        <v>1.7034720983646334E-3</v>
      </c>
      <c r="K29" s="37"/>
    </row>
    <row r="30" spans="3:11" x14ac:dyDescent="0.2">
      <c r="C30" s="21">
        <v>43178</v>
      </c>
      <c r="D30">
        <v>92.89</v>
      </c>
      <c r="E30">
        <v>2712.92</v>
      </c>
      <c r="F30">
        <v>33344.1</v>
      </c>
      <c r="I30" s="95">
        <f t="shared" si="1"/>
        <v>-1.8076109936574936E-2</v>
      </c>
      <c r="J30" s="95">
        <f t="shared" si="0"/>
        <v>-1.4204163502312905E-2</v>
      </c>
      <c r="K30" s="37"/>
    </row>
    <row r="31" spans="3:11" x14ac:dyDescent="0.2">
      <c r="C31" s="21">
        <v>43179</v>
      </c>
      <c r="D31">
        <v>93.13</v>
      </c>
      <c r="E31">
        <v>2716.94</v>
      </c>
      <c r="F31">
        <v>23075.200000000001</v>
      </c>
      <c r="I31" s="95">
        <f t="shared" si="1"/>
        <v>2.5837011519000974E-3</v>
      </c>
      <c r="J31" s="95">
        <f t="shared" si="0"/>
        <v>1.4817982100467919E-3</v>
      </c>
      <c r="K31" s="37"/>
    </row>
    <row r="32" spans="3:11" x14ac:dyDescent="0.2">
      <c r="C32" s="21">
        <v>43180</v>
      </c>
      <c r="D32">
        <v>92.48</v>
      </c>
      <c r="E32">
        <v>2711.93</v>
      </c>
      <c r="F32">
        <v>24457.1</v>
      </c>
      <c r="I32" s="95">
        <f t="shared" si="1"/>
        <v>-6.9794910340383876E-3</v>
      </c>
      <c r="J32" s="95">
        <f t="shared" si="0"/>
        <v>-1.8439862492363179E-3</v>
      </c>
      <c r="K32" s="37"/>
    </row>
    <row r="33" spans="3:11" x14ac:dyDescent="0.2">
      <c r="C33" s="21">
        <v>43181</v>
      </c>
      <c r="D33">
        <v>89.79</v>
      </c>
      <c r="E33">
        <v>2643.69</v>
      </c>
      <c r="F33">
        <v>38604.699999999997</v>
      </c>
      <c r="I33" s="95">
        <f t="shared" si="1"/>
        <v>-2.9087370242214527E-2</v>
      </c>
      <c r="J33" s="95">
        <f t="shared" si="0"/>
        <v>-2.5162891372564888E-2</v>
      </c>
      <c r="K33" s="37"/>
    </row>
    <row r="34" spans="3:11" x14ac:dyDescent="0.2">
      <c r="C34" s="21">
        <v>43182</v>
      </c>
      <c r="D34">
        <v>87.18</v>
      </c>
      <c r="E34">
        <v>2588.2600000000002</v>
      </c>
      <c r="F34">
        <v>44068.9</v>
      </c>
      <c r="I34" s="95">
        <f t="shared" si="1"/>
        <v>-2.9067824924824626E-2</v>
      </c>
      <c r="J34" s="95">
        <f t="shared" si="0"/>
        <v>-2.0966906104724736E-2</v>
      </c>
      <c r="K34" s="37"/>
    </row>
    <row r="35" spans="3:11" x14ac:dyDescent="0.2">
      <c r="C35" s="21">
        <v>43185</v>
      </c>
      <c r="D35">
        <v>93.78</v>
      </c>
      <c r="E35">
        <v>2658.55</v>
      </c>
      <c r="F35">
        <v>56396.800000000003</v>
      </c>
      <c r="I35" s="95">
        <f t="shared" si="1"/>
        <v>7.5705437026840849E-2</v>
      </c>
      <c r="J35" s="95">
        <f t="shared" si="0"/>
        <v>2.7157240771792601E-2</v>
      </c>
      <c r="K35" s="37"/>
    </row>
    <row r="36" spans="3:11" x14ac:dyDescent="0.2">
      <c r="C36" s="21">
        <v>43186</v>
      </c>
      <c r="D36">
        <v>89.47</v>
      </c>
      <c r="E36">
        <v>2612.62</v>
      </c>
      <c r="F36">
        <v>56569</v>
      </c>
      <c r="I36" s="95">
        <f t="shared" si="1"/>
        <v>-4.5958626572830008E-2</v>
      </c>
      <c r="J36" s="95">
        <f t="shared" si="0"/>
        <v>-1.7276334844182117E-2</v>
      </c>
      <c r="K36" s="37"/>
    </row>
    <row r="37" spans="3:11" x14ac:dyDescent="0.2">
      <c r="C37" s="21">
        <v>43187</v>
      </c>
      <c r="D37">
        <v>89.39</v>
      </c>
      <c r="E37">
        <v>2605</v>
      </c>
      <c r="F37">
        <v>52501.1</v>
      </c>
      <c r="I37" s="95">
        <f t="shared" si="1"/>
        <v>-8.9415446518381625E-4</v>
      </c>
      <c r="J37" s="95">
        <f t="shared" si="0"/>
        <v>-2.9166124426820428E-3</v>
      </c>
      <c r="K37" s="37"/>
    </row>
    <row r="38" spans="3:11" x14ac:dyDescent="0.2">
      <c r="C38" s="21">
        <v>43188</v>
      </c>
      <c r="D38">
        <v>91.27</v>
      </c>
      <c r="E38">
        <v>2640.87</v>
      </c>
      <c r="F38">
        <v>45867.5</v>
      </c>
      <c r="I38" s="95">
        <f t="shared" si="1"/>
        <v>2.1031435283588751E-2</v>
      </c>
      <c r="J38" s="95">
        <f t="shared" si="0"/>
        <v>1.376967370441462E-2</v>
      </c>
      <c r="K38" s="37"/>
    </row>
    <row r="39" spans="3:11" x14ac:dyDescent="0.2">
      <c r="C39" s="21">
        <v>43189</v>
      </c>
      <c r="D39">
        <v>91.27</v>
      </c>
      <c r="E39">
        <v>2640.87</v>
      </c>
      <c r="F39" t="e">
        <v>#N/A</v>
      </c>
      <c r="I39" s="95">
        <f t="shared" si="1"/>
        <v>0</v>
      </c>
      <c r="J39" s="95">
        <f t="shared" si="0"/>
        <v>0</v>
      </c>
      <c r="K39" s="37"/>
    </row>
    <row r="40" spans="3:11" x14ac:dyDescent="0.2">
      <c r="C40" s="21">
        <v>43192</v>
      </c>
      <c r="D40">
        <v>88.52</v>
      </c>
      <c r="E40">
        <v>2581.88</v>
      </c>
      <c r="F40">
        <v>48515.4</v>
      </c>
      <c r="I40" s="95">
        <f t="shared" si="1"/>
        <v>-3.0130382381943654E-2</v>
      </c>
      <c r="J40" s="95">
        <f t="shared" si="0"/>
        <v>-2.233733580221664E-2</v>
      </c>
      <c r="K40" s="37"/>
    </row>
    <row r="41" spans="3:11" x14ac:dyDescent="0.2">
      <c r="C41" s="21">
        <v>43193</v>
      </c>
      <c r="D41">
        <v>89.71</v>
      </c>
      <c r="E41">
        <v>2614.4499999999998</v>
      </c>
      <c r="F41">
        <v>37213.800000000003</v>
      </c>
      <c r="I41" s="95">
        <f t="shared" si="1"/>
        <v>1.344328965205599E-2</v>
      </c>
      <c r="J41" s="95">
        <f t="shared" si="0"/>
        <v>1.261483879963432E-2</v>
      </c>
      <c r="K41" s="37"/>
    </row>
    <row r="42" spans="3:11" x14ac:dyDescent="0.2">
      <c r="C42" s="21">
        <v>43194</v>
      </c>
      <c r="D42">
        <v>92.33</v>
      </c>
      <c r="E42">
        <v>2644.69</v>
      </c>
      <c r="F42">
        <v>35560</v>
      </c>
      <c r="I42" s="95">
        <f t="shared" si="1"/>
        <v>2.9205216809720325E-2</v>
      </c>
      <c r="J42" s="95">
        <f t="shared" si="0"/>
        <v>1.1566486259060316E-2</v>
      </c>
      <c r="K42" s="37"/>
    </row>
    <row r="43" spans="3:11" x14ac:dyDescent="0.2">
      <c r="C43" s="21">
        <v>43195</v>
      </c>
      <c r="D43">
        <v>92.38</v>
      </c>
      <c r="E43">
        <v>2662.84</v>
      </c>
      <c r="F43">
        <v>29771.9</v>
      </c>
      <c r="I43" s="95">
        <f t="shared" si="1"/>
        <v>5.4153579551607933E-4</v>
      </c>
      <c r="J43" s="95">
        <f t="shared" si="0"/>
        <v>6.8628081173975897E-3</v>
      </c>
      <c r="K43" s="37"/>
    </row>
    <row r="44" spans="3:11" x14ac:dyDescent="0.2">
      <c r="C44" s="21">
        <v>43196</v>
      </c>
      <c r="D44">
        <v>90.23</v>
      </c>
      <c r="E44">
        <v>2604.4699999999998</v>
      </c>
      <c r="F44">
        <v>38026</v>
      </c>
      <c r="I44" s="95">
        <f t="shared" si="1"/>
        <v>-2.3273435808616516E-2</v>
      </c>
      <c r="J44" s="95">
        <f t="shared" si="0"/>
        <v>-2.192020549488527E-2</v>
      </c>
      <c r="K44" s="37"/>
    </row>
    <row r="45" spans="3:11" x14ac:dyDescent="0.2">
      <c r="C45" s="21">
        <v>43199</v>
      </c>
      <c r="D45">
        <v>90.77</v>
      </c>
      <c r="E45">
        <v>2613.16</v>
      </c>
      <c r="F45">
        <v>31533.9</v>
      </c>
      <c r="I45" s="95">
        <f t="shared" si="1"/>
        <v>5.9847057519670788E-3</v>
      </c>
      <c r="J45" s="95">
        <f t="shared" si="0"/>
        <v>3.336571356168383E-3</v>
      </c>
      <c r="K45" s="37"/>
    </row>
    <row r="46" spans="3:11" x14ac:dyDescent="0.2">
      <c r="C46" s="21">
        <v>43200</v>
      </c>
      <c r="D46">
        <v>92.88</v>
      </c>
      <c r="E46">
        <v>2656.87</v>
      </c>
      <c r="F46">
        <v>26939.9</v>
      </c>
      <c r="I46" s="95">
        <f t="shared" si="1"/>
        <v>2.3245565715544814E-2</v>
      </c>
      <c r="J46" s="95">
        <f t="shared" si="0"/>
        <v>1.6726874741691988E-2</v>
      </c>
      <c r="K46" s="37"/>
    </row>
    <row r="47" spans="3:11" x14ac:dyDescent="0.2">
      <c r="C47" s="21">
        <v>43201</v>
      </c>
      <c r="D47">
        <v>91.86</v>
      </c>
      <c r="E47">
        <v>2642.19</v>
      </c>
      <c r="F47">
        <v>24872.1</v>
      </c>
      <c r="I47" s="95">
        <f t="shared" si="1"/>
        <v>-1.0981912144702788E-2</v>
      </c>
      <c r="J47" s="95">
        <f t="shared" si="0"/>
        <v>-5.5252985656053522E-3</v>
      </c>
      <c r="K47" s="37"/>
    </row>
    <row r="48" spans="3:11" x14ac:dyDescent="0.2">
      <c r="C48" s="21">
        <v>43202</v>
      </c>
      <c r="D48">
        <v>93.58</v>
      </c>
      <c r="E48">
        <v>2663.99</v>
      </c>
      <c r="F48">
        <v>26758.9</v>
      </c>
      <c r="I48" s="95">
        <f t="shared" si="1"/>
        <v>1.8724145438711037E-2</v>
      </c>
      <c r="J48" s="95">
        <f t="shared" si="0"/>
        <v>8.2507314008453125E-3</v>
      </c>
      <c r="K48" s="37"/>
    </row>
    <row r="49" spans="3:11" x14ac:dyDescent="0.2">
      <c r="C49" s="21">
        <v>43203</v>
      </c>
      <c r="D49">
        <v>93.08</v>
      </c>
      <c r="E49">
        <v>2656.3</v>
      </c>
      <c r="F49">
        <v>23346.1</v>
      </c>
      <c r="I49" s="95">
        <f t="shared" si="1"/>
        <v>-5.3430220132506534E-3</v>
      </c>
      <c r="J49" s="95">
        <f t="shared" si="0"/>
        <v>-2.8866474724003055E-3</v>
      </c>
      <c r="K49" s="37"/>
    </row>
    <row r="50" spans="3:11" x14ac:dyDescent="0.2">
      <c r="C50" s="21">
        <v>43206</v>
      </c>
      <c r="D50">
        <v>94.17</v>
      </c>
      <c r="E50">
        <v>2677.84</v>
      </c>
      <c r="F50">
        <v>20288.099999999999</v>
      </c>
      <c r="I50" s="95">
        <f t="shared" si="1"/>
        <v>1.1710356682423706E-2</v>
      </c>
      <c r="J50" s="95">
        <f t="shared" si="0"/>
        <v>8.1090238301395612E-3</v>
      </c>
      <c r="K50" s="37"/>
    </row>
    <row r="51" spans="3:11" x14ac:dyDescent="0.2">
      <c r="C51" s="21">
        <v>43207</v>
      </c>
      <c r="D51">
        <v>96.07</v>
      </c>
      <c r="E51">
        <v>2706.39</v>
      </c>
      <c r="F51">
        <v>26771</v>
      </c>
      <c r="I51" s="95">
        <f t="shared" si="1"/>
        <v>2.0176276945948812E-2</v>
      </c>
      <c r="J51" s="95">
        <f t="shared" si="0"/>
        <v>1.0661577988229309E-2</v>
      </c>
      <c r="K51" s="37"/>
    </row>
    <row r="52" spans="3:11" x14ac:dyDescent="0.2">
      <c r="C52" s="21">
        <v>43208</v>
      </c>
      <c r="D52">
        <v>96.44</v>
      </c>
      <c r="E52">
        <v>2708.64</v>
      </c>
      <c r="F52">
        <v>21043.3</v>
      </c>
      <c r="I52" s="95">
        <f t="shared" si="1"/>
        <v>3.8513583845114496E-3</v>
      </c>
      <c r="J52" s="95">
        <f t="shared" si="0"/>
        <v>8.3136576768305659E-4</v>
      </c>
      <c r="K52" s="37"/>
    </row>
    <row r="53" spans="3:11" x14ac:dyDescent="0.2">
      <c r="C53" s="21">
        <v>43209</v>
      </c>
      <c r="D53">
        <v>96.11</v>
      </c>
      <c r="E53">
        <v>2693.13</v>
      </c>
      <c r="F53">
        <v>23552.5</v>
      </c>
      <c r="I53" s="95">
        <f t="shared" si="1"/>
        <v>-3.4218166735794364E-3</v>
      </c>
      <c r="J53" s="95">
        <f t="shared" si="0"/>
        <v>-5.7261208576997458E-3</v>
      </c>
      <c r="K53" s="37"/>
    </row>
    <row r="54" spans="3:11" x14ac:dyDescent="0.2">
      <c r="C54" s="21">
        <v>43210</v>
      </c>
      <c r="D54">
        <v>95</v>
      </c>
      <c r="E54">
        <v>2670.14</v>
      </c>
      <c r="F54">
        <v>31154.400000000001</v>
      </c>
      <c r="I54" s="95">
        <f t="shared" si="1"/>
        <v>-1.1549266465508246E-2</v>
      </c>
      <c r="J54" s="95">
        <f t="shared" si="0"/>
        <v>-8.5365355552833311E-3</v>
      </c>
      <c r="K54" s="37"/>
    </row>
    <row r="55" spans="3:11" x14ac:dyDescent="0.2">
      <c r="C55" s="21">
        <v>43213</v>
      </c>
      <c r="D55">
        <v>95.35</v>
      </c>
      <c r="E55">
        <v>2670.29</v>
      </c>
      <c r="F55">
        <v>22331.8</v>
      </c>
      <c r="I55" s="95">
        <f t="shared" si="1"/>
        <v>3.6842105263157343E-3</v>
      </c>
      <c r="J55" s="95">
        <f t="shared" si="0"/>
        <v>5.6176829679399631E-5</v>
      </c>
      <c r="K55" s="37"/>
    </row>
    <row r="56" spans="3:11" x14ac:dyDescent="0.2">
      <c r="C56" s="21">
        <v>43214</v>
      </c>
      <c r="D56">
        <v>93.12</v>
      </c>
      <c r="E56">
        <v>2634.56</v>
      </c>
      <c r="F56">
        <v>34524.800000000003</v>
      </c>
      <c r="I56" s="95">
        <f t="shared" si="1"/>
        <v>-2.338751966439423E-2</v>
      </c>
      <c r="J56" s="95">
        <f t="shared" si="0"/>
        <v>-1.3380569151665189E-2</v>
      </c>
      <c r="K56" s="37"/>
    </row>
    <row r="57" spans="3:11" x14ac:dyDescent="0.2">
      <c r="C57" s="21">
        <v>43215</v>
      </c>
      <c r="D57">
        <v>92.31</v>
      </c>
      <c r="E57">
        <v>2639.4</v>
      </c>
      <c r="F57">
        <v>33729.300000000003</v>
      </c>
      <c r="I57" s="95">
        <f t="shared" si="1"/>
        <v>-8.6984536082473918E-3</v>
      </c>
      <c r="J57" s="95">
        <f t="shared" si="0"/>
        <v>1.8371189116968001E-3</v>
      </c>
      <c r="K57" s="37"/>
    </row>
    <row r="58" spans="3:11" x14ac:dyDescent="0.2">
      <c r="C58" s="21">
        <v>43216</v>
      </c>
      <c r="D58">
        <v>94.26</v>
      </c>
      <c r="E58">
        <v>2666.94</v>
      </c>
      <c r="F58">
        <v>42529</v>
      </c>
      <c r="I58" s="95">
        <f t="shared" si="1"/>
        <v>2.1124471888202878E-2</v>
      </c>
      <c r="J58" s="95">
        <f t="shared" si="0"/>
        <v>1.0434189588542919E-2</v>
      </c>
      <c r="K58" s="37"/>
    </row>
    <row r="59" spans="3:11" x14ac:dyDescent="0.2">
      <c r="C59" s="21">
        <v>43217</v>
      </c>
      <c r="D59">
        <v>95.82</v>
      </c>
      <c r="E59">
        <v>2669.91</v>
      </c>
      <c r="F59">
        <v>48272.800000000003</v>
      </c>
      <c r="I59" s="95">
        <f t="shared" si="1"/>
        <v>1.654996817313803E-2</v>
      </c>
      <c r="J59" s="95">
        <f t="shared" si="0"/>
        <v>1.1136358523251566E-3</v>
      </c>
      <c r="K59" s="37"/>
    </row>
    <row r="60" spans="3:11" x14ac:dyDescent="0.2">
      <c r="C60" s="21">
        <v>43220</v>
      </c>
      <c r="D60">
        <v>93.52</v>
      </c>
      <c r="E60">
        <v>2648.05</v>
      </c>
      <c r="F60">
        <v>41523.599999999999</v>
      </c>
      <c r="I60" s="95">
        <f t="shared" si="1"/>
        <v>-2.4003339595074058E-2</v>
      </c>
      <c r="J60" s="95">
        <f t="shared" si="0"/>
        <v>-8.1875419021614215E-3</v>
      </c>
      <c r="K60" s="37"/>
    </row>
    <row r="61" spans="3:11" x14ac:dyDescent="0.2">
      <c r="C61" s="21">
        <v>43221</v>
      </c>
      <c r="D61">
        <v>95</v>
      </c>
      <c r="E61">
        <v>2654.8</v>
      </c>
      <c r="F61">
        <v>31408.9</v>
      </c>
      <c r="I61" s="95">
        <f t="shared" si="1"/>
        <v>1.5825491873396214E-2</v>
      </c>
      <c r="J61" s="95">
        <f t="shared" si="0"/>
        <v>2.5490455240648746E-3</v>
      </c>
      <c r="K61" s="37"/>
    </row>
    <row r="62" spans="3:11" x14ac:dyDescent="0.2">
      <c r="C62" s="21">
        <v>43222</v>
      </c>
      <c r="D62">
        <v>93.51</v>
      </c>
      <c r="E62">
        <v>2635.67</v>
      </c>
      <c r="F62">
        <v>27471</v>
      </c>
      <c r="I62" s="95">
        <f t="shared" si="1"/>
        <v>-1.5684210526315745E-2</v>
      </c>
      <c r="J62" s="95">
        <f t="shared" si="0"/>
        <v>-7.205815880669042E-3</v>
      </c>
      <c r="K62" s="37"/>
    </row>
    <row r="63" spans="3:11" x14ac:dyDescent="0.2">
      <c r="C63" s="21">
        <v>43223</v>
      </c>
      <c r="D63">
        <v>94.07</v>
      </c>
      <c r="E63">
        <v>2629.73</v>
      </c>
      <c r="F63">
        <v>31142.5</v>
      </c>
      <c r="I63" s="95">
        <f t="shared" si="1"/>
        <v>5.9886643139770435E-3</v>
      </c>
      <c r="J63" s="95">
        <f t="shared" si="0"/>
        <v>-2.2536964035709817E-3</v>
      </c>
      <c r="K63" s="37"/>
    </row>
    <row r="64" spans="3:11" x14ac:dyDescent="0.2">
      <c r="C64" s="21">
        <v>43224</v>
      </c>
      <c r="D64">
        <v>95.16</v>
      </c>
      <c r="E64">
        <v>2663.42</v>
      </c>
      <c r="F64">
        <v>22531.3</v>
      </c>
      <c r="I64" s="95">
        <f t="shared" si="1"/>
        <v>1.1587115977463647E-2</v>
      </c>
      <c r="J64" s="95">
        <f t="shared" si="0"/>
        <v>1.2811201149927953E-2</v>
      </c>
      <c r="K64" s="37"/>
    </row>
    <row r="65" spans="3:11" x14ac:dyDescent="0.2">
      <c r="C65" s="21">
        <v>43227</v>
      </c>
      <c r="D65">
        <v>96.22</v>
      </c>
      <c r="E65">
        <v>2672.63</v>
      </c>
      <c r="F65">
        <v>24242</v>
      </c>
      <c r="I65" s="95">
        <f t="shared" si="1"/>
        <v>1.1139134089953817E-2</v>
      </c>
      <c r="J65" s="95">
        <f t="shared" si="0"/>
        <v>3.4579600663808829E-3</v>
      </c>
      <c r="K65" s="37"/>
    </row>
    <row r="66" spans="3:11" x14ac:dyDescent="0.2">
      <c r="C66" s="21">
        <v>43228</v>
      </c>
      <c r="D66">
        <v>95.81</v>
      </c>
      <c r="E66">
        <v>2671.92</v>
      </c>
      <c r="F66">
        <v>23484.6</v>
      </c>
      <c r="I66" s="95">
        <f t="shared" si="1"/>
        <v>-4.2610683849511055E-3</v>
      </c>
      <c r="J66" s="95">
        <f t="shared" si="0"/>
        <v>-2.6565592693339468E-4</v>
      </c>
      <c r="K66" s="37"/>
    </row>
    <row r="67" spans="3:11" x14ac:dyDescent="0.2">
      <c r="C67" s="21">
        <v>43229</v>
      </c>
      <c r="D67">
        <v>96.94</v>
      </c>
      <c r="E67">
        <v>2697.79</v>
      </c>
      <c r="F67">
        <v>27327.4</v>
      </c>
      <c r="I67" s="95">
        <f t="shared" si="1"/>
        <v>1.1794175973280474E-2</v>
      </c>
      <c r="J67" s="95">
        <f t="shared" si="0"/>
        <v>9.682176113057217E-3</v>
      </c>
      <c r="K67" s="37"/>
    </row>
    <row r="68" spans="3:11" x14ac:dyDescent="0.2">
      <c r="C68" s="21">
        <v>43230</v>
      </c>
      <c r="D68">
        <v>97.91</v>
      </c>
      <c r="E68">
        <v>2723.07</v>
      </c>
      <c r="F68">
        <v>22388.1</v>
      </c>
      <c r="I68" s="95">
        <f t="shared" si="1"/>
        <v>1.0006189395502352E-2</v>
      </c>
      <c r="J68" s="95">
        <f t="shared" si="0"/>
        <v>9.3706329996035009E-3</v>
      </c>
      <c r="K68" s="37"/>
    </row>
    <row r="69" spans="3:11" x14ac:dyDescent="0.2">
      <c r="C69" s="21">
        <v>43231</v>
      </c>
      <c r="D69">
        <v>97.7</v>
      </c>
      <c r="E69">
        <v>2727.72</v>
      </c>
      <c r="F69">
        <v>16778.3</v>
      </c>
      <c r="I69" s="95">
        <f t="shared" si="1"/>
        <v>-2.144826881830153E-3</v>
      </c>
      <c r="J69" s="95">
        <f t="shared" ref="J69:J132" si="2">E69/E68-1</f>
        <v>1.7076314600799058E-3</v>
      </c>
      <c r="K69" s="37"/>
    </row>
    <row r="70" spans="3:11" x14ac:dyDescent="0.2">
      <c r="C70" s="21">
        <v>43234</v>
      </c>
      <c r="D70">
        <v>98.03</v>
      </c>
      <c r="E70">
        <v>2730.13</v>
      </c>
      <c r="F70">
        <v>19454.099999999999</v>
      </c>
      <c r="I70" s="95">
        <f t="shared" ref="I70:I133" si="3">D70/D69-1</f>
        <v>3.3776867963153379E-3</v>
      </c>
      <c r="J70" s="95">
        <f t="shared" si="2"/>
        <v>8.8352176909656244E-4</v>
      </c>
      <c r="K70" s="37"/>
    </row>
    <row r="71" spans="3:11" x14ac:dyDescent="0.2">
      <c r="C71" s="21">
        <v>43235</v>
      </c>
      <c r="D71">
        <v>97.32</v>
      </c>
      <c r="E71">
        <v>2711.45</v>
      </c>
      <c r="F71">
        <v>24594</v>
      </c>
      <c r="I71" s="95">
        <f t="shared" si="3"/>
        <v>-7.2426808119964159E-3</v>
      </c>
      <c r="J71" s="95">
        <f t="shared" si="2"/>
        <v>-6.8421650251088151E-3</v>
      </c>
      <c r="K71" s="37"/>
    </row>
    <row r="72" spans="3:11" x14ac:dyDescent="0.2">
      <c r="C72" s="21">
        <v>43236</v>
      </c>
      <c r="D72">
        <v>97.15</v>
      </c>
      <c r="E72">
        <v>2722.46</v>
      </c>
      <c r="F72">
        <v>17384.7</v>
      </c>
      <c r="I72" s="95">
        <f t="shared" si="3"/>
        <v>-1.7468146321412137E-3</v>
      </c>
      <c r="J72" s="95">
        <f t="shared" si="2"/>
        <v>4.060558004020054E-3</v>
      </c>
      <c r="K72" s="37"/>
    </row>
    <row r="73" spans="3:11" x14ac:dyDescent="0.2">
      <c r="C73" s="21">
        <v>43237</v>
      </c>
      <c r="D73">
        <v>96.18</v>
      </c>
      <c r="E73">
        <v>2720.13</v>
      </c>
      <c r="F73">
        <v>17246.7</v>
      </c>
      <c r="I73" s="95">
        <f t="shared" si="3"/>
        <v>-9.9845599588265221E-3</v>
      </c>
      <c r="J73" s="95">
        <f t="shared" si="2"/>
        <v>-8.5584361202728498E-4</v>
      </c>
      <c r="K73" s="37"/>
    </row>
    <row r="74" spans="3:11" x14ac:dyDescent="0.2">
      <c r="C74" s="21">
        <v>43238</v>
      </c>
      <c r="D74">
        <v>96.36</v>
      </c>
      <c r="E74">
        <v>2712.97</v>
      </c>
      <c r="F74">
        <v>17865.8</v>
      </c>
      <c r="I74" s="95">
        <f t="shared" si="3"/>
        <v>1.8714909544603753E-3</v>
      </c>
      <c r="J74" s="95">
        <f t="shared" si="2"/>
        <v>-2.6322271362031469E-3</v>
      </c>
      <c r="K74" s="37"/>
    </row>
    <row r="75" spans="3:11" x14ac:dyDescent="0.2">
      <c r="C75" s="21">
        <v>43241</v>
      </c>
      <c r="D75">
        <v>97.6</v>
      </c>
      <c r="E75">
        <v>2733.01</v>
      </c>
      <c r="F75">
        <v>19422.5</v>
      </c>
      <c r="I75" s="95">
        <f t="shared" si="3"/>
        <v>1.2868410128684005E-2</v>
      </c>
      <c r="J75" s="95">
        <f t="shared" si="2"/>
        <v>7.386738519040259E-3</v>
      </c>
      <c r="K75" s="37"/>
    </row>
    <row r="76" spans="3:11" x14ac:dyDescent="0.2">
      <c r="C76" s="21">
        <v>43242</v>
      </c>
      <c r="D76">
        <v>97.5</v>
      </c>
      <c r="E76">
        <v>2724.44</v>
      </c>
      <c r="F76">
        <v>15441.2</v>
      </c>
      <c r="I76" s="95">
        <f t="shared" si="3"/>
        <v>-1.0245901639344135E-3</v>
      </c>
      <c r="J76" s="95">
        <f t="shared" si="2"/>
        <v>-3.1357367883761977E-3</v>
      </c>
      <c r="K76" s="37"/>
    </row>
    <row r="77" spans="3:11" x14ac:dyDescent="0.2">
      <c r="C77" s="21">
        <v>43243</v>
      </c>
      <c r="D77">
        <v>98.66</v>
      </c>
      <c r="E77">
        <v>2733.29</v>
      </c>
      <c r="F77">
        <v>21251.200000000001</v>
      </c>
      <c r="I77" s="95">
        <f t="shared" si="3"/>
        <v>1.1897435897435971E-2</v>
      </c>
      <c r="J77" s="95">
        <f t="shared" si="2"/>
        <v>3.248373977771557E-3</v>
      </c>
      <c r="K77" s="37"/>
    </row>
    <row r="78" spans="3:11" x14ac:dyDescent="0.2">
      <c r="C78" s="21">
        <v>43244</v>
      </c>
      <c r="D78">
        <v>98.31</v>
      </c>
      <c r="E78">
        <v>2727.76</v>
      </c>
      <c r="F78">
        <v>26649.3</v>
      </c>
      <c r="I78" s="95">
        <f t="shared" si="3"/>
        <v>-3.5475369957429503E-3</v>
      </c>
      <c r="J78" s="95">
        <f t="shared" si="2"/>
        <v>-2.0232028068736252E-3</v>
      </c>
      <c r="K78" s="37"/>
    </row>
    <row r="79" spans="3:11" x14ac:dyDescent="0.2">
      <c r="C79" s="21">
        <v>43245</v>
      </c>
      <c r="D79">
        <v>98.36</v>
      </c>
      <c r="E79">
        <v>2721.33</v>
      </c>
      <c r="F79">
        <v>18363.900000000001</v>
      </c>
      <c r="I79" s="95">
        <f t="shared" si="3"/>
        <v>5.0859525989221943E-4</v>
      </c>
      <c r="J79" s="95">
        <f t="shared" si="2"/>
        <v>-2.357245505469785E-3</v>
      </c>
      <c r="K79" s="37"/>
    </row>
    <row r="80" spans="3:11" x14ac:dyDescent="0.2">
      <c r="C80" s="21">
        <v>43248</v>
      </c>
      <c r="D80">
        <v>98.36</v>
      </c>
      <c r="E80">
        <v>2721.33</v>
      </c>
      <c r="F80" t="e">
        <v>#N/A</v>
      </c>
      <c r="I80" s="95">
        <f t="shared" si="3"/>
        <v>0</v>
      </c>
      <c r="J80" s="95">
        <f t="shared" si="2"/>
        <v>0</v>
      </c>
      <c r="K80" s="37"/>
    </row>
    <row r="81" spans="3:11" x14ac:dyDescent="0.2">
      <c r="C81" s="21">
        <v>43249</v>
      </c>
      <c r="D81">
        <v>98.01</v>
      </c>
      <c r="E81">
        <v>2689.86</v>
      </c>
      <c r="F81">
        <v>28671</v>
      </c>
      <c r="I81" s="95">
        <f t="shared" si="3"/>
        <v>-3.5583570557136124E-3</v>
      </c>
      <c r="J81" s="95">
        <f t="shared" si="2"/>
        <v>-1.1564198388288038E-2</v>
      </c>
      <c r="K81" s="37"/>
    </row>
    <row r="82" spans="3:11" x14ac:dyDescent="0.2">
      <c r="C82" s="21">
        <v>43250</v>
      </c>
      <c r="D82">
        <v>98.95</v>
      </c>
      <c r="E82">
        <v>2724.01</v>
      </c>
      <c r="F82">
        <v>22158.5</v>
      </c>
      <c r="I82" s="95">
        <f t="shared" si="3"/>
        <v>9.5908580757064765E-3</v>
      </c>
      <c r="J82" s="95">
        <f t="shared" si="2"/>
        <v>1.269582803565994E-2</v>
      </c>
      <c r="K82" s="37"/>
    </row>
    <row r="83" spans="3:11" x14ac:dyDescent="0.2">
      <c r="C83" s="21">
        <v>43251</v>
      </c>
      <c r="D83">
        <v>98.84</v>
      </c>
      <c r="E83">
        <v>2705.27</v>
      </c>
      <c r="F83">
        <v>34140.9</v>
      </c>
      <c r="I83" s="95">
        <f t="shared" si="3"/>
        <v>-1.1116725618999235E-3</v>
      </c>
      <c r="J83" s="95">
        <f t="shared" si="2"/>
        <v>-6.8795635845684266E-3</v>
      </c>
      <c r="K83" s="37"/>
    </row>
    <row r="84" spans="3:11" x14ac:dyDescent="0.2">
      <c r="C84" s="21">
        <v>43252</v>
      </c>
      <c r="D84">
        <v>100.79</v>
      </c>
      <c r="E84">
        <v>2734.62</v>
      </c>
      <c r="F84">
        <v>28655.599999999999</v>
      </c>
      <c r="I84" s="95">
        <f t="shared" si="3"/>
        <v>1.9728854714690547E-2</v>
      </c>
      <c r="J84" s="95">
        <f t="shared" si="2"/>
        <v>1.0849194350286639E-2</v>
      </c>
      <c r="K84" s="37"/>
    </row>
    <row r="85" spans="3:11" x14ac:dyDescent="0.2">
      <c r="C85" s="21">
        <v>43255</v>
      </c>
      <c r="D85">
        <v>101.67</v>
      </c>
      <c r="E85">
        <v>2746.87</v>
      </c>
      <c r="F85">
        <v>27281.599999999999</v>
      </c>
      <c r="I85" s="95">
        <f t="shared" si="3"/>
        <v>8.7310249032641618E-3</v>
      </c>
      <c r="J85" s="95">
        <f t="shared" si="2"/>
        <v>4.4795986279628774E-3</v>
      </c>
      <c r="K85" s="37"/>
    </row>
    <row r="86" spans="3:11" x14ac:dyDescent="0.2">
      <c r="C86" s="21">
        <v>43256</v>
      </c>
      <c r="D86">
        <v>102.19</v>
      </c>
      <c r="E86">
        <v>2748.8</v>
      </c>
      <c r="F86">
        <v>23514.400000000001</v>
      </c>
      <c r="I86" s="95">
        <f t="shared" si="3"/>
        <v>5.1145864070030189E-3</v>
      </c>
      <c r="J86" s="95">
        <f t="shared" si="2"/>
        <v>7.0261788872438835E-4</v>
      </c>
      <c r="K86" s="37"/>
    </row>
    <row r="87" spans="3:11" x14ac:dyDescent="0.2">
      <c r="C87" s="21">
        <v>43257</v>
      </c>
      <c r="D87">
        <v>102.49</v>
      </c>
      <c r="E87">
        <v>2772.35</v>
      </c>
      <c r="F87">
        <v>21122.9</v>
      </c>
      <c r="I87" s="95">
        <f t="shared" si="3"/>
        <v>2.9357079949114961E-3</v>
      </c>
      <c r="J87" s="95">
        <f t="shared" si="2"/>
        <v>8.5673748544818906E-3</v>
      </c>
      <c r="K87" s="37"/>
    </row>
    <row r="88" spans="3:11" x14ac:dyDescent="0.2">
      <c r="C88" s="21">
        <v>43258</v>
      </c>
      <c r="D88">
        <v>100.88</v>
      </c>
      <c r="E88">
        <v>2770.37</v>
      </c>
      <c r="F88">
        <v>28232.2</v>
      </c>
      <c r="I88" s="95">
        <f t="shared" si="3"/>
        <v>-1.5708849643867651E-2</v>
      </c>
      <c r="J88" s="95">
        <f t="shared" si="2"/>
        <v>-7.1419553808138581E-4</v>
      </c>
      <c r="K88" s="37"/>
    </row>
    <row r="89" spans="3:11" x14ac:dyDescent="0.2">
      <c r="C89" s="21">
        <v>43259</v>
      </c>
      <c r="D89">
        <v>101.63</v>
      </c>
      <c r="E89">
        <v>2779.03</v>
      </c>
      <c r="F89">
        <v>22165.1</v>
      </c>
      <c r="I89" s="95">
        <f t="shared" si="3"/>
        <v>7.4345757335447793E-3</v>
      </c>
      <c r="J89" s="95">
        <f t="shared" si="2"/>
        <v>3.1259362467830343E-3</v>
      </c>
      <c r="K89" s="37"/>
    </row>
    <row r="90" spans="3:11" x14ac:dyDescent="0.2">
      <c r="C90" s="21">
        <v>43262</v>
      </c>
      <c r="D90">
        <v>101.05</v>
      </c>
      <c r="E90">
        <v>2782</v>
      </c>
      <c r="F90">
        <v>23490.9</v>
      </c>
      <c r="I90" s="95">
        <f t="shared" si="3"/>
        <v>-5.7069762865294971E-3</v>
      </c>
      <c r="J90" s="95">
        <f t="shared" si="2"/>
        <v>1.0687182218256375E-3</v>
      </c>
      <c r="K90" s="37"/>
    </row>
    <row r="91" spans="3:11" x14ac:dyDescent="0.2">
      <c r="C91" s="21">
        <v>43263</v>
      </c>
      <c r="D91">
        <v>101.31</v>
      </c>
      <c r="E91">
        <v>2786.85</v>
      </c>
      <c r="F91">
        <v>18325.2</v>
      </c>
      <c r="I91" s="95">
        <f t="shared" si="3"/>
        <v>2.5729836714498688E-3</v>
      </c>
      <c r="J91" s="95">
        <f t="shared" si="2"/>
        <v>1.7433501078361058E-3</v>
      </c>
      <c r="K91" s="37"/>
    </row>
    <row r="92" spans="3:11" x14ac:dyDescent="0.2">
      <c r="C92" s="21">
        <v>43264</v>
      </c>
      <c r="D92">
        <v>100.85</v>
      </c>
      <c r="E92">
        <v>2775.63</v>
      </c>
      <c r="F92">
        <v>29492.9</v>
      </c>
      <c r="I92" s="95">
        <f t="shared" si="3"/>
        <v>-4.5405191984997373E-3</v>
      </c>
      <c r="J92" s="95">
        <f t="shared" si="2"/>
        <v>-4.0260509177026949E-3</v>
      </c>
      <c r="K92" s="37"/>
    </row>
    <row r="93" spans="3:11" x14ac:dyDescent="0.2">
      <c r="C93" s="21">
        <v>43265</v>
      </c>
      <c r="D93">
        <v>101.42</v>
      </c>
      <c r="E93">
        <v>2782.49</v>
      </c>
      <c r="F93">
        <v>25691.8</v>
      </c>
      <c r="I93" s="95">
        <f t="shared" si="3"/>
        <v>5.6519583539911267E-3</v>
      </c>
      <c r="J93" s="95">
        <f t="shared" si="2"/>
        <v>2.4715109722837081E-3</v>
      </c>
      <c r="K93" s="37"/>
    </row>
    <row r="94" spans="3:11" x14ac:dyDescent="0.2">
      <c r="C94" s="21">
        <v>43266</v>
      </c>
      <c r="D94">
        <v>100.13</v>
      </c>
      <c r="E94">
        <v>2779.66</v>
      </c>
      <c r="F94">
        <v>65738.600000000006</v>
      </c>
      <c r="I94" s="95">
        <f t="shared" si="3"/>
        <v>-1.2719384736738393E-2</v>
      </c>
      <c r="J94" s="95">
        <f t="shared" si="2"/>
        <v>-1.0170746345898873E-3</v>
      </c>
      <c r="K94" s="37"/>
    </row>
    <row r="95" spans="3:11" x14ac:dyDescent="0.2">
      <c r="C95" s="21">
        <v>43269</v>
      </c>
      <c r="D95">
        <v>100.86</v>
      </c>
      <c r="E95">
        <v>2773.75</v>
      </c>
      <c r="F95">
        <v>23586</v>
      </c>
      <c r="I95" s="95">
        <f t="shared" si="3"/>
        <v>7.2905223209827064E-3</v>
      </c>
      <c r="J95" s="95">
        <f t="shared" si="2"/>
        <v>-2.1261593144484836E-3</v>
      </c>
      <c r="K95" s="37"/>
    </row>
    <row r="96" spans="3:11" x14ac:dyDescent="0.2">
      <c r="C96" s="21">
        <v>43270</v>
      </c>
      <c r="D96">
        <v>100.86</v>
      </c>
      <c r="E96">
        <v>2762.59</v>
      </c>
      <c r="F96">
        <v>28653.1</v>
      </c>
      <c r="I96" s="95">
        <f t="shared" si="3"/>
        <v>0</v>
      </c>
      <c r="J96" s="95">
        <f t="shared" si="2"/>
        <v>-4.0234339792698526E-3</v>
      </c>
      <c r="K96" s="37"/>
    </row>
    <row r="97" spans="3:11" x14ac:dyDescent="0.2">
      <c r="C97" s="21">
        <v>43271</v>
      </c>
      <c r="D97">
        <v>101.87</v>
      </c>
      <c r="E97">
        <v>2767.32</v>
      </c>
      <c r="F97">
        <v>26180.799999999999</v>
      </c>
      <c r="I97" s="95">
        <f t="shared" si="3"/>
        <v>1.0013880626611238E-2</v>
      </c>
      <c r="J97" s="95">
        <f t="shared" si="2"/>
        <v>1.7121614137458607E-3</v>
      </c>
      <c r="K97" s="37"/>
    </row>
    <row r="98" spans="3:11" x14ac:dyDescent="0.2">
      <c r="C98" s="21">
        <v>43272</v>
      </c>
      <c r="D98">
        <v>101.14</v>
      </c>
      <c r="E98">
        <v>2749.76</v>
      </c>
      <c r="F98">
        <v>23198.2</v>
      </c>
      <c r="I98" s="95">
        <f t="shared" si="3"/>
        <v>-7.165995877098319E-3</v>
      </c>
      <c r="J98" s="95">
        <f t="shared" si="2"/>
        <v>-6.3454894988652644E-3</v>
      </c>
      <c r="K98" s="37"/>
    </row>
    <row r="99" spans="3:11" x14ac:dyDescent="0.2">
      <c r="C99" s="21">
        <v>43273</v>
      </c>
      <c r="D99">
        <v>100.41</v>
      </c>
      <c r="E99">
        <v>2754.88</v>
      </c>
      <c r="F99">
        <v>38923.1</v>
      </c>
      <c r="I99" s="95">
        <f t="shared" si="3"/>
        <v>-7.2177180146332232E-3</v>
      </c>
      <c r="J99" s="95">
        <f t="shared" si="2"/>
        <v>1.8619806819504259E-3</v>
      </c>
      <c r="K99" s="37"/>
    </row>
    <row r="100" spans="3:11" x14ac:dyDescent="0.2">
      <c r="C100" s="21">
        <v>43276</v>
      </c>
      <c r="D100">
        <v>98.39</v>
      </c>
      <c r="E100">
        <v>2717.07</v>
      </c>
      <c r="F100">
        <v>35433.300000000003</v>
      </c>
      <c r="I100" s="95">
        <f t="shared" si="3"/>
        <v>-2.0117518175480464E-2</v>
      </c>
      <c r="J100" s="95">
        <f t="shared" si="2"/>
        <v>-1.3724735741665661E-2</v>
      </c>
      <c r="K100" s="37"/>
    </row>
    <row r="101" spans="3:11" x14ac:dyDescent="0.2">
      <c r="C101" s="21">
        <v>43277</v>
      </c>
      <c r="D101">
        <v>99.08</v>
      </c>
      <c r="E101">
        <v>2723.06</v>
      </c>
      <c r="F101">
        <v>26897.200000000001</v>
      </c>
      <c r="I101" s="95">
        <f t="shared" si="3"/>
        <v>7.0129078158349678E-3</v>
      </c>
      <c r="J101" s="95">
        <f t="shared" si="2"/>
        <v>2.2045806696182613E-3</v>
      </c>
      <c r="K101" s="37"/>
    </row>
    <row r="102" spans="3:11" x14ac:dyDescent="0.2">
      <c r="C102" s="21">
        <v>43278</v>
      </c>
      <c r="D102">
        <v>97.54</v>
      </c>
      <c r="E102">
        <v>2699.63</v>
      </c>
      <c r="F102">
        <v>31298.400000000001</v>
      </c>
      <c r="I102" s="95">
        <f t="shared" si="3"/>
        <v>-1.5542995559144068E-2</v>
      </c>
      <c r="J102" s="95">
        <f t="shared" si="2"/>
        <v>-8.6042907611290076E-3</v>
      </c>
      <c r="K102" s="37"/>
    </row>
    <row r="103" spans="3:11" x14ac:dyDescent="0.2">
      <c r="C103" s="21">
        <v>43279</v>
      </c>
      <c r="D103">
        <v>98.63</v>
      </c>
      <c r="E103">
        <v>2716.31</v>
      </c>
      <c r="F103">
        <v>26650.7</v>
      </c>
      <c r="I103" s="95">
        <f t="shared" si="3"/>
        <v>1.1174902604059733E-2</v>
      </c>
      <c r="J103" s="95">
        <f t="shared" si="2"/>
        <v>6.1786244781691924E-3</v>
      </c>
      <c r="K103" s="37"/>
    </row>
    <row r="104" spans="3:11" x14ac:dyDescent="0.2">
      <c r="C104" s="21">
        <v>43280</v>
      </c>
      <c r="D104">
        <v>98.61</v>
      </c>
      <c r="E104">
        <v>2718.37</v>
      </c>
      <c r="F104">
        <v>28053.200000000001</v>
      </c>
      <c r="I104" s="95">
        <f t="shared" si="3"/>
        <v>-2.0277805941393279E-4</v>
      </c>
      <c r="J104" s="95">
        <f t="shared" si="2"/>
        <v>7.5838177527609574E-4</v>
      </c>
      <c r="K104" s="37"/>
    </row>
    <row r="105" spans="3:11" x14ac:dyDescent="0.2">
      <c r="C105" s="21">
        <v>43283</v>
      </c>
      <c r="D105">
        <v>100.01</v>
      </c>
      <c r="E105">
        <v>2726.71</v>
      </c>
      <c r="F105">
        <v>19564.5</v>
      </c>
      <c r="I105" s="95">
        <f t="shared" si="3"/>
        <v>1.4197343068654389E-2</v>
      </c>
      <c r="J105" s="95">
        <f t="shared" si="2"/>
        <v>3.0680150237090142E-3</v>
      </c>
      <c r="K105" s="37"/>
    </row>
    <row r="106" spans="3:11" x14ac:dyDescent="0.2">
      <c r="C106" s="21">
        <v>43284</v>
      </c>
      <c r="D106">
        <v>99.05</v>
      </c>
      <c r="E106">
        <v>2713.22</v>
      </c>
      <c r="F106">
        <v>14670.3</v>
      </c>
      <c r="I106" s="95">
        <f t="shared" si="3"/>
        <v>-9.5990400959904409E-3</v>
      </c>
      <c r="J106" s="95">
        <f t="shared" si="2"/>
        <v>-4.9473541374037699E-3</v>
      </c>
      <c r="K106" s="37"/>
    </row>
    <row r="107" spans="3:11" x14ac:dyDescent="0.2">
      <c r="C107" s="21">
        <v>43285</v>
      </c>
      <c r="D107">
        <v>99.05</v>
      </c>
      <c r="E107">
        <v>2713.22</v>
      </c>
      <c r="F107" t="e">
        <v>#N/A</v>
      </c>
      <c r="I107" s="95">
        <f t="shared" si="3"/>
        <v>0</v>
      </c>
      <c r="J107" s="95">
        <f t="shared" si="2"/>
        <v>0</v>
      </c>
      <c r="K107" s="37"/>
    </row>
    <row r="108" spans="3:11" x14ac:dyDescent="0.2">
      <c r="C108" s="21">
        <v>43286</v>
      </c>
      <c r="D108">
        <v>99.76</v>
      </c>
      <c r="E108">
        <v>2736.61</v>
      </c>
      <c r="F108">
        <v>18977.400000000001</v>
      </c>
      <c r="I108" s="95">
        <f t="shared" si="3"/>
        <v>7.1680969207472689E-3</v>
      </c>
      <c r="J108" s="95">
        <f t="shared" si="2"/>
        <v>8.6207532009938692E-3</v>
      </c>
      <c r="K108" s="37"/>
    </row>
    <row r="109" spans="3:11" x14ac:dyDescent="0.2">
      <c r="C109" s="21">
        <v>43287</v>
      </c>
      <c r="D109">
        <v>101.16</v>
      </c>
      <c r="E109">
        <v>2759.82</v>
      </c>
      <c r="F109">
        <v>19234.599999999999</v>
      </c>
      <c r="I109" s="95">
        <f t="shared" si="3"/>
        <v>1.4033680834001583E-2</v>
      </c>
      <c r="J109" s="95">
        <f t="shared" si="2"/>
        <v>8.4812962022355887E-3</v>
      </c>
      <c r="K109" s="37"/>
    </row>
    <row r="110" spans="3:11" x14ac:dyDescent="0.2">
      <c r="C110" s="21">
        <v>43290</v>
      </c>
      <c r="D110">
        <v>101.85</v>
      </c>
      <c r="E110">
        <v>2784.17</v>
      </c>
      <c r="F110">
        <v>18212</v>
      </c>
      <c r="I110" s="95">
        <f t="shared" si="3"/>
        <v>6.8208778173191043E-3</v>
      </c>
      <c r="J110" s="95">
        <f t="shared" si="2"/>
        <v>8.8230391837147426E-3</v>
      </c>
      <c r="K110" s="37"/>
    </row>
    <row r="111" spans="3:11" x14ac:dyDescent="0.2">
      <c r="C111" s="21">
        <v>43291</v>
      </c>
      <c r="D111">
        <v>102.12</v>
      </c>
      <c r="E111">
        <v>2793.84</v>
      </c>
      <c r="F111">
        <v>19293.099999999999</v>
      </c>
      <c r="I111" s="95">
        <f t="shared" si="3"/>
        <v>2.6509572901325384E-3</v>
      </c>
      <c r="J111" s="95">
        <f t="shared" si="2"/>
        <v>3.4732074550045677E-3</v>
      </c>
      <c r="K111" s="37"/>
    </row>
    <row r="112" spans="3:11" x14ac:dyDescent="0.2">
      <c r="C112" s="21">
        <v>43292</v>
      </c>
      <c r="D112">
        <v>101.98</v>
      </c>
      <c r="E112">
        <v>2774.02</v>
      </c>
      <c r="F112">
        <v>19644.599999999999</v>
      </c>
      <c r="I112" s="95">
        <f t="shared" si="3"/>
        <v>-1.3709361535448883E-3</v>
      </c>
      <c r="J112" s="95">
        <f t="shared" si="2"/>
        <v>-7.0941786215388269E-3</v>
      </c>
      <c r="K112" s="37"/>
    </row>
    <row r="113" spans="3:11" x14ac:dyDescent="0.2">
      <c r="C113" s="21">
        <v>43293</v>
      </c>
      <c r="D113">
        <v>104.19</v>
      </c>
      <c r="E113">
        <v>2798.29</v>
      </c>
      <c r="F113">
        <v>24335.9</v>
      </c>
      <c r="I113" s="95">
        <f t="shared" si="3"/>
        <v>2.16709158658559E-2</v>
      </c>
      <c r="J113" s="95">
        <f t="shared" si="2"/>
        <v>8.7490356954889048E-3</v>
      </c>
      <c r="K113" s="37"/>
    </row>
    <row r="114" spans="3:11" x14ac:dyDescent="0.2">
      <c r="C114" s="21">
        <v>43294</v>
      </c>
      <c r="D114">
        <v>105.43</v>
      </c>
      <c r="E114">
        <v>2801.31</v>
      </c>
      <c r="F114">
        <v>24653.5</v>
      </c>
      <c r="I114" s="95">
        <f t="shared" si="3"/>
        <v>1.1901334101161343E-2</v>
      </c>
      <c r="J114" s="95">
        <f t="shared" si="2"/>
        <v>1.0792305300737493E-3</v>
      </c>
      <c r="K114" s="37"/>
    </row>
    <row r="115" spans="3:11" x14ac:dyDescent="0.2">
      <c r="C115" s="21">
        <v>43297</v>
      </c>
      <c r="D115">
        <v>104.91</v>
      </c>
      <c r="E115">
        <v>2798.43</v>
      </c>
      <c r="F115">
        <v>21786.9</v>
      </c>
      <c r="I115" s="95">
        <f t="shared" si="3"/>
        <v>-4.9321824907522238E-3</v>
      </c>
      <c r="J115" s="95">
        <f t="shared" si="2"/>
        <v>-1.028090429120665E-3</v>
      </c>
      <c r="K115" s="37"/>
    </row>
    <row r="116" spans="3:11" x14ac:dyDescent="0.2">
      <c r="C116" s="21">
        <v>43298</v>
      </c>
      <c r="D116">
        <v>105.95</v>
      </c>
      <c r="E116">
        <v>2809.55</v>
      </c>
      <c r="F116">
        <v>25901.7</v>
      </c>
      <c r="I116" s="95">
        <f t="shared" si="3"/>
        <v>9.9132589838910601E-3</v>
      </c>
      <c r="J116" s="95">
        <f t="shared" si="2"/>
        <v>3.9736566574830601E-3</v>
      </c>
      <c r="K116" s="37"/>
    </row>
    <row r="117" spans="3:11" x14ac:dyDescent="0.2">
      <c r="C117" s="21">
        <v>43299</v>
      </c>
      <c r="D117">
        <v>105.12</v>
      </c>
      <c r="E117">
        <v>2815.62</v>
      </c>
      <c r="F117">
        <v>29493.9</v>
      </c>
      <c r="I117" s="95">
        <f t="shared" si="3"/>
        <v>-7.8338839075035027E-3</v>
      </c>
      <c r="J117" s="95">
        <f t="shared" si="2"/>
        <v>2.1604883344306103E-3</v>
      </c>
      <c r="K117" s="37"/>
    </row>
    <row r="118" spans="3:11" x14ac:dyDescent="0.2">
      <c r="C118" s="21">
        <v>43300</v>
      </c>
      <c r="D118">
        <v>104.4</v>
      </c>
      <c r="E118">
        <v>2804.49</v>
      </c>
      <c r="F118">
        <v>40171.599999999999</v>
      </c>
      <c r="I118" s="95">
        <f t="shared" si="3"/>
        <v>-6.8493150684931781E-3</v>
      </c>
      <c r="J118" s="95">
        <f t="shared" si="2"/>
        <v>-3.9529481961344537E-3</v>
      </c>
      <c r="K118" s="37"/>
    </row>
    <row r="119" spans="3:11" x14ac:dyDescent="0.2">
      <c r="C119" s="21">
        <v>43301</v>
      </c>
      <c r="D119">
        <v>106.27</v>
      </c>
      <c r="E119">
        <v>2801.83</v>
      </c>
      <c r="F119">
        <v>56038.8</v>
      </c>
      <c r="I119" s="95">
        <f t="shared" si="3"/>
        <v>1.7911877394635844E-2</v>
      </c>
      <c r="J119" s="95">
        <f t="shared" si="2"/>
        <v>-9.4847904610106948E-4</v>
      </c>
      <c r="K119" s="37"/>
    </row>
    <row r="120" spans="3:11" x14ac:dyDescent="0.2">
      <c r="C120" s="21">
        <v>43304</v>
      </c>
      <c r="D120">
        <v>107.97</v>
      </c>
      <c r="E120">
        <v>2806.98</v>
      </c>
      <c r="F120">
        <v>29707</v>
      </c>
      <c r="I120" s="95">
        <f t="shared" si="3"/>
        <v>1.599698880210787E-2</v>
      </c>
      <c r="J120" s="95">
        <f t="shared" si="2"/>
        <v>1.83808439484201E-3</v>
      </c>
      <c r="K120" s="37"/>
    </row>
    <row r="121" spans="3:11" x14ac:dyDescent="0.2">
      <c r="C121" s="21">
        <v>43305</v>
      </c>
      <c r="D121">
        <v>107.66</v>
      </c>
      <c r="E121">
        <v>2820.4</v>
      </c>
      <c r="F121">
        <v>26316.6</v>
      </c>
      <c r="I121" s="95">
        <f t="shared" si="3"/>
        <v>-2.8711679170140281E-3</v>
      </c>
      <c r="J121" s="95">
        <f t="shared" si="2"/>
        <v>4.7809389450583772E-3</v>
      </c>
      <c r="K121" s="37"/>
    </row>
    <row r="122" spans="3:11" x14ac:dyDescent="0.2">
      <c r="C122" s="21">
        <v>43306</v>
      </c>
      <c r="D122">
        <v>110.83</v>
      </c>
      <c r="E122">
        <v>2846.07</v>
      </c>
      <c r="F122">
        <v>30798.1</v>
      </c>
      <c r="I122" s="95">
        <f t="shared" si="3"/>
        <v>2.9444547650009367E-2</v>
      </c>
      <c r="J122" s="95">
        <f t="shared" si="2"/>
        <v>9.1015458800169924E-3</v>
      </c>
      <c r="K122" s="37"/>
    </row>
    <row r="123" spans="3:11" x14ac:dyDescent="0.2">
      <c r="C123" s="21">
        <v>43307</v>
      </c>
      <c r="D123">
        <v>109.62</v>
      </c>
      <c r="E123">
        <v>2837.44</v>
      </c>
      <c r="F123">
        <v>31372.1</v>
      </c>
      <c r="I123" s="95">
        <f t="shared" si="3"/>
        <v>-1.0917621582603898E-2</v>
      </c>
      <c r="J123" s="95">
        <f t="shared" si="2"/>
        <v>-3.0322514906520048E-3</v>
      </c>
      <c r="K123" s="37"/>
    </row>
    <row r="124" spans="3:11" x14ac:dyDescent="0.2">
      <c r="C124" s="21">
        <v>43308</v>
      </c>
      <c r="D124">
        <v>107.68</v>
      </c>
      <c r="E124">
        <v>2818.82</v>
      </c>
      <c r="F124">
        <v>37005.300000000003</v>
      </c>
      <c r="I124" s="95">
        <f t="shared" si="3"/>
        <v>-1.7697500456121174E-2</v>
      </c>
      <c r="J124" s="95">
        <f t="shared" si="2"/>
        <v>-6.5622532987481552E-3</v>
      </c>
      <c r="K124" s="37"/>
    </row>
    <row r="125" spans="3:11" x14ac:dyDescent="0.2">
      <c r="C125" s="21">
        <v>43311</v>
      </c>
      <c r="D125">
        <v>105.37</v>
      </c>
      <c r="E125">
        <v>2802.6</v>
      </c>
      <c r="F125">
        <v>34668.300000000003</v>
      </c>
      <c r="I125" s="95">
        <f t="shared" si="3"/>
        <v>-2.1452451708766751E-2</v>
      </c>
      <c r="J125" s="95">
        <f t="shared" si="2"/>
        <v>-5.7541808274385042E-3</v>
      </c>
      <c r="K125" s="37"/>
    </row>
    <row r="126" spans="3:11" x14ac:dyDescent="0.2">
      <c r="C126" s="21">
        <v>43312</v>
      </c>
      <c r="D126">
        <v>106.08</v>
      </c>
      <c r="E126">
        <v>2816.29</v>
      </c>
      <c r="F126">
        <v>27655.200000000001</v>
      </c>
      <c r="I126" s="95">
        <f t="shared" si="3"/>
        <v>6.7381607668215437E-3</v>
      </c>
      <c r="J126" s="95">
        <f t="shared" si="2"/>
        <v>4.8847498751158902E-3</v>
      </c>
      <c r="K126" s="37"/>
    </row>
    <row r="127" spans="3:11" x14ac:dyDescent="0.2">
      <c r="C127" s="21">
        <v>43313</v>
      </c>
      <c r="D127">
        <v>106.28</v>
      </c>
      <c r="E127">
        <v>2813.36</v>
      </c>
      <c r="F127">
        <v>23628.7</v>
      </c>
      <c r="I127" s="95">
        <f t="shared" si="3"/>
        <v>1.8853695324283493E-3</v>
      </c>
      <c r="J127" s="95">
        <f t="shared" si="2"/>
        <v>-1.0403758135703045E-3</v>
      </c>
      <c r="K127" s="37"/>
    </row>
    <row r="128" spans="3:11" x14ac:dyDescent="0.2">
      <c r="C128" s="21">
        <v>43314</v>
      </c>
      <c r="D128">
        <v>107.57</v>
      </c>
      <c r="E128">
        <v>2827.22</v>
      </c>
      <c r="F128">
        <v>26104.3</v>
      </c>
      <c r="I128" s="95">
        <f t="shared" si="3"/>
        <v>1.2137749341362358E-2</v>
      </c>
      <c r="J128" s="95">
        <f t="shared" si="2"/>
        <v>4.9264935877384453E-3</v>
      </c>
      <c r="K128" s="37"/>
    </row>
    <row r="129" spans="3:11" x14ac:dyDescent="0.2">
      <c r="C129" s="21">
        <v>43315</v>
      </c>
      <c r="D129">
        <v>108.04</v>
      </c>
      <c r="E129">
        <v>2840.35</v>
      </c>
      <c r="F129">
        <v>18659.599999999999</v>
      </c>
      <c r="I129" s="95">
        <f t="shared" si="3"/>
        <v>4.3692479315795563E-3</v>
      </c>
      <c r="J129" s="95">
        <f t="shared" si="2"/>
        <v>4.6441380578801095E-3</v>
      </c>
      <c r="K129" s="37"/>
    </row>
    <row r="130" spans="3:11" x14ac:dyDescent="0.2">
      <c r="C130" s="21">
        <v>43318</v>
      </c>
      <c r="D130">
        <v>108.13</v>
      </c>
      <c r="E130">
        <v>2850.4</v>
      </c>
      <c r="F130">
        <v>20265.900000000001</v>
      </c>
      <c r="I130" s="95">
        <f t="shared" si="3"/>
        <v>8.3302480562741366E-4</v>
      </c>
      <c r="J130" s="95">
        <f t="shared" si="2"/>
        <v>3.5382963367192044E-3</v>
      </c>
      <c r="K130" s="37"/>
    </row>
    <row r="131" spans="3:11" x14ac:dyDescent="0.2">
      <c r="C131" s="21">
        <v>43319</v>
      </c>
      <c r="D131">
        <v>108.88</v>
      </c>
      <c r="E131">
        <v>2858.45</v>
      </c>
      <c r="F131">
        <v>16080.2</v>
      </c>
      <c r="I131" s="95">
        <f t="shared" si="3"/>
        <v>6.9360954406731956E-3</v>
      </c>
      <c r="J131" s="95">
        <f t="shared" si="2"/>
        <v>2.824165029469361E-3</v>
      </c>
      <c r="K131" s="37"/>
    </row>
    <row r="132" spans="3:11" x14ac:dyDescent="0.2">
      <c r="C132" s="21">
        <v>43320</v>
      </c>
      <c r="D132">
        <v>109.49</v>
      </c>
      <c r="E132">
        <v>2857.7</v>
      </c>
      <c r="F132">
        <v>15487.5</v>
      </c>
      <c r="I132" s="95">
        <f t="shared" si="3"/>
        <v>5.6024981631153103E-3</v>
      </c>
      <c r="J132" s="95">
        <f t="shared" si="2"/>
        <v>-2.6237996116773576E-4</v>
      </c>
      <c r="K132" s="37"/>
    </row>
    <row r="133" spans="3:11" x14ac:dyDescent="0.2">
      <c r="C133" s="21">
        <v>43321</v>
      </c>
      <c r="D133">
        <v>109.67</v>
      </c>
      <c r="E133">
        <v>2853.58</v>
      </c>
      <c r="F133">
        <v>13677.2</v>
      </c>
      <c r="I133" s="95">
        <f t="shared" si="3"/>
        <v>1.6439857521235446E-3</v>
      </c>
      <c r="J133" s="95">
        <f t="shared" ref="J133:J196" si="4">E133/E132-1</f>
        <v>-1.4417188648213619E-3</v>
      </c>
      <c r="K133" s="37"/>
    </row>
    <row r="134" spans="3:11" x14ac:dyDescent="0.2">
      <c r="C134" s="21">
        <v>43322</v>
      </c>
      <c r="D134">
        <v>109</v>
      </c>
      <c r="E134">
        <v>2833.28</v>
      </c>
      <c r="F134">
        <v>18183.7</v>
      </c>
      <c r="I134" s="95">
        <f t="shared" ref="I134:I197" si="5">D134/D133-1</f>
        <v>-6.1092368013130338E-3</v>
      </c>
      <c r="J134" s="95">
        <f t="shared" si="4"/>
        <v>-7.1138709971333425E-3</v>
      </c>
      <c r="K134" s="37"/>
    </row>
    <row r="135" spans="3:11" x14ac:dyDescent="0.2">
      <c r="C135" s="21">
        <v>43325</v>
      </c>
      <c r="D135">
        <v>108.21</v>
      </c>
      <c r="E135">
        <v>2821.93</v>
      </c>
      <c r="F135">
        <v>18474.900000000001</v>
      </c>
      <c r="I135" s="95">
        <f t="shared" si="5"/>
        <v>-7.2477064220184406E-3</v>
      </c>
      <c r="J135" s="95">
        <f t="shared" si="4"/>
        <v>-4.0059577592049811E-3</v>
      </c>
      <c r="K135" s="37"/>
    </row>
    <row r="136" spans="3:11" x14ac:dyDescent="0.2">
      <c r="C136" s="21">
        <v>43326</v>
      </c>
      <c r="D136">
        <v>109.56</v>
      </c>
      <c r="E136">
        <v>2839.96</v>
      </c>
      <c r="F136">
        <v>16788.3</v>
      </c>
      <c r="I136" s="95">
        <f t="shared" si="5"/>
        <v>1.2475741613529268E-2</v>
      </c>
      <c r="J136" s="95">
        <f t="shared" si="4"/>
        <v>6.3892442406439098E-3</v>
      </c>
      <c r="K136" s="37"/>
    </row>
    <row r="137" spans="3:11" x14ac:dyDescent="0.2">
      <c r="C137" s="21">
        <v>43327</v>
      </c>
      <c r="D137">
        <v>107.66</v>
      </c>
      <c r="E137">
        <v>2818.37</v>
      </c>
      <c r="F137">
        <v>29982.799999999999</v>
      </c>
      <c r="I137" s="95">
        <f t="shared" si="5"/>
        <v>-1.7342095655348722E-2</v>
      </c>
      <c r="J137" s="95">
        <f t="shared" si="4"/>
        <v>-7.6022197495739796E-3</v>
      </c>
      <c r="K137" s="37"/>
    </row>
    <row r="138" spans="3:11" x14ac:dyDescent="0.2">
      <c r="C138" s="21">
        <v>43328</v>
      </c>
      <c r="D138">
        <v>107.64</v>
      </c>
      <c r="E138">
        <v>2840.69</v>
      </c>
      <c r="F138">
        <v>21384.3</v>
      </c>
      <c r="I138" s="95">
        <f t="shared" si="5"/>
        <v>-1.8577001671926663E-4</v>
      </c>
      <c r="J138" s="95">
        <f t="shared" si="4"/>
        <v>7.9194711836985121E-3</v>
      </c>
      <c r="K138" s="37"/>
    </row>
    <row r="139" spans="3:11" x14ac:dyDescent="0.2">
      <c r="C139" s="21">
        <v>43329</v>
      </c>
      <c r="D139">
        <v>107.58</v>
      </c>
      <c r="E139">
        <v>2850.13</v>
      </c>
      <c r="F139">
        <v>18061.5</v>
      </c>
      <c r="I139" s="95">
        <f t="shared" si="5"/>
        <v>-5.574136008918984E-4</v>
      </c>
      <c r="J139" s="95">
        <f t="shared" si="4"/>
        <v>3.3231362802699227E-3</v>
      </c>
      <c r="K139" s="37"/>
    </row>
    <row r="140" spans="3:11" x14ac:dyDescent="0.2">
      <c r="C140" s="21">
        <v>43332</v>
      </c>
      <c r="D140">
        <v>106.87</v>
      </c>
      <c r="E140">
        <v>2857.05</v>
      </c>
      <c r="F140">
        <v>17914.2</v>
      </c>
      <c r="I140" s="95">
        <f t="shared" si="5"/>
        <v>-6.5997397285739723E-3</v>
      </c>
      <c r="J140" s="95">
        <f t="shared" si="4"/>
        <v>2.4279594264120519E-3</v>
      </c>
      <c r="K140" s="37"/>
    </row>
    <row r="141" spans="3:11" x14ac:dyDescent="0.2">
      <c r="C141" s="21">
        <v>43333</v>
      </c>
      <c r="D141">
        <v>105.98</v>
      </c>
      <c r="E141">
        <v>2862.96</v>
      </c>
      <c r="F141">
        <v>22881.9</v>
      </c>
      <c r="I141" s="95">
        <f t="shared" si="5"/>
        <v>-8.327874988303563E-3</v>
      </c>
      <c r="J141" s="95">
        <f t="shared" si="4"/>
        <v>2.0685672284348477E-3</v>
      </c>
      <c r="K141" s="37"/>
    </row>
    <row r="142" spans="3:11" x14ac:dyDescent="0.2">
      <c r="C142" s="21">
        <v>43334</v>
      </c>
      <c r="D142">
        <v>107.06</v>
      </c>
      <c r="E142">
        <v>2861.82</v>
      </c>
      <c r="F142">
        <v>18000.599999999999</v>
      </c>
      <c r="I142" s="95">
        <f t="shared" si="5"/>
        <v>1.0190602000377469E-2</v>
      </c>
      <c r="J142" s="95">
        <f t="shared" si="4"/>
        <v>-3.9818928661239372E-4</v>
      </c>
      <c r="K142" s="37"/>
    </row>
    <row r="143" spans="3:11" x14ac:dyDescent="0.2">
      <c r="C143" s="21">
        <v>43335</v>
      </c>
      <c r="D143">
        <v>107.56</v>
      </c>
      <c r="E143">
        <v>2856.98</v>
      </c>
      <c r="F143">
        <v>18167.7</v>
      </c>
      <c r="I143" s="95">
        <f t="shared" si="5"/>
        <v>4.6702783485896848E-3</v>
      </c>
      <c r="J143" s="95">
        <f t="shared" si="4"/>
        <v>-1.691231454109654E-3</v>
      </c>
      <c r="K143" s="37"/>
    </row>
    <row r="144" spans="3:11" x14ac:dyDescent="0.2">
      <c r="C144" s="21">
        <v>43336</v>
      </c>
      <c r="D144">
        <v>108.4</v>
      </c>
      <c r="E144">
        <v>2874.69</v>
      </c>
      <c r="F144">
        <v>17234</v>
      </c>
      <c r="I144" s="95">
        <f t="shared" si="5"/>
        <v>7.8095946448493159E-3</v>
      </c>
      <c r="J144" s="95">
        <f t="shared" si="4"/>
        <v>6.1988533346399866E-3</v>
      </c>
      <c r="K144" s="37"/>
    </row>
    <row r="145" spans="3:11" x14ac:dyDescent="0.2">
      <c r="C145" s="21">
        <v>43339</v>
      </c>
      <c r="D145">
        <v>109.6</v>
      </c>
      <c r="E145">
        <v>2896.74</v>
      </c>
      <c r="F145">
        <v>19662.3</v>
      </c>
      <c r="I145" s="95">
        <f t="shared" si="5"/>
        <v>1.1070110701106861E-2</v>
      </c>
      <c r="J145" s="95">
        <f t="shared" si="4"/>
        <v>7.670392285776817E-3</v>
      </c>
      <c r="K145" s="37"/>
    </row>
    <row r="146" spans="3:11" x14ac:dyDescent="0.2">
      <c r="C146" s="21">
        <v>43340</v>
      </c>
      <c r="D146">
        <v>110.26</v>
      </c>
      <c r="E146">
        <v>2897.52</v>
      </c>
      <c r="F146">
        <v>19151.5</v>
      </c>
      <c r="I146" s="95">
        <f t="shared" si="5"/>
        <v>6.0218978102191123E-3</v>
      </c>
      <c r="J146" s="95">
        <f t="shared" si="4"/>
        <v>2.6926821185191407E-4</v>
      </c>
      <c r="K146" s="37"/>
    </row>
    <row r="147" spans="3:11" x14ac:dyDescent="0.2">
      <c r="C147" s="21">
        <v>43341</v>
      </c>
      <c r="D147">
        <v>112.02</v>
      </c>
      <c r="E147">
        <v>2914.04</v>
      </c>
      <c r="F147">
        <v>20818</v>
      </c>
      <c r="I147" s="95">
        <f t="shared" si="5"/>
        <v>1.5962270995828032E-2</v>
      </c>
      <c r="J147" s="95">
        <f t="shared" si="4"/>
        <v>5.7014274275932753E-3</v>
      </c>
      <c r="K147" s="37"/>
    </row>
    <row r="148" spans="3:11" x14ac:dyDescent="0.2">
      <c r="C148" s="21">
        <v>43342</v>
      </c>
      <c r="D148">
        <v>111.95</v>
      </c>
      <c r="E148">
        <v>2901.13</v>
      </c>
      <c r="F148">
        <v>22798.7</v>
      </c>
      <c r="I148" s="95">
        <f t="shared" si="5"/>
        <v>-6.2488841278340868E-4</v>
      </c>
      <c r="J148" s="95">
        <f t="shared" si="4"/>
        <v>-4.4302754938161382E-3</v>
      </c>
      <c r="K148" s="37"/>
    </row>
    <row r="149" spans="3:11" x14ac:dyDescent="0.2">
      <c r="C149" s="21">
        <v>43343</v>
      </c>
      <c r="D149">
        <v>112.33</v>
      </c>
      <c r="E149">
        <v>2901.52</v>
      </c>
      <c r="F149">
        <v>23222.7</v>
      </c>
      <c r="I149" s="95">
        <f t="shared" si="5"/>
        <v>3.3943724877176784E-3</v>
      </c>
      <c r="J149" s="95">
        <f t="shared" si="4"/>
        <v>1.3443037712890238E-4</v>
      </c>
      <c r="K149" s="37"/>
    </row>
    <row r="150" spans="3:11" x14ac:dyDescent="0.2">
      <c r="C150" s="21">
        <v>43346</v>
      </c>
      <c r="D150">
        <v>112.33</v>
      </c>
      <c r="E150">
        <v>2901.52</v>
      </c>
      <c r="F150" t="e">
        <v>#N/A</v>
      </c>
      <c r="I150" s="95">
        <f t="shared" si="5"/>
        <v>0</v>
      </c>
      <c r="J150" s="95">
        <f t="shared" si="4"/>
        <v>0</v>
      </c>
      <c r="K150" s="37"/>
    </row>
    <row r="151" spans="3:11" x14ac:dyDescent="0.2">
      <c r="C151" s="21">
        <v>43347</v>
      </c>
      <c r="D151">
        <v>111.71</v>
      </c>
      <c r="E151">
        <v>2896.72</v>
      </c>
      <c r="F151">
        <v>22634.6</v>
      </c>
      <c r="I151" s="95">
        <f t="shared" si="5"/>
        <v>-5.5194516157749396E-3</v>
      </c>
      <c r="J151" s="95">
        <f t="shared" si="4"/>
        <v>-1.6543053296204091E-3</v>
      </c>
      <c r="K151" s="37"/>
    </row>
    <row r="152" spans="3:11" x14ac:dyDescent="0.2">
      <c r="C152" s="21">
        <v>43348</v>
      </c>
      <c r="D152">
        <v>108.49</v>
      </c>
      <c r="E152">
        <v>2888.6</v>
      </c>
      <c r="F152">
        <v>32872.400000000001</v>
      </c>
      <c r="I152" s="95">
        <f t="shared" si="5"/>
        <v>-2.8824635216184724E-2</v>
      </c>
      <c r="J152" s="95">
        <f t="shared" si="4"/>
        <v>-2.8031704824766912E-3</v>
      </c>
      <c r="K152" s="37"/>
    </row>
    <row r="153" spans="3:11" x14ac:dyDescent="0.2">
      <c r="C153" s="21">
        <v>43349</v>
      </c>
      <c r="D153">
        <v>108.74</v>
      </c>
      <c r="E153">
        <v>2878.05</v>
      </c>
      <c r="F153">
        <v>23477.599999999999</v>
      </c>
      <c r="I153" s="95">
        <f t="shared" si="5"/>
        <v>2.3043598488339256E-3</v>
      </c>
      <c r="J153" s="95">
        <f t="shared" si="4"/>
        <v>-3.6522883057535926E-3</v>
      </c>
      <c r="K153" s="37"/>
    </row>
    <row r="154" spans="3:11" x14ac:dyDescent="0.2">
      <c r="C154" s="21">
        <v>43350</v>
      </c>
      <c r="D154">
        <v>108.21</v>
      </c>
      <c r="E154">
        <v>2871.68</v>
      </c>
      <c r="F154">
        <v>22498.6</v>
      </c>
      <c r="I154" s="95">
        <f t="shared" si="5"/>
        <v>-4.8740114033474224E-3</v>
      </c>
      <c r="J154" s="95">
        <f t="shared" si="4"/>
        <v>-2.2133041469051262E-3</v>
      </c>
      <c r="K154" s="37"/>
    </row>
    <row r="155" spans="3:11" x14ac:dyDescent="0.2">
      <c r="C155" s="21">
        <v>43353</v>
      </c>
      <c r="D155">
        <v>109.38</v>
      </c>
      <c r="E155">
        <v>2877.13</v>
      </c>
      <c r="F155">
        <v>20727.900000000001</v>
      </c>
      <c r="I155" s="95">
        <f t="shared" si="5"/>
        <v>1.0812309398392062E-2</v>
      </c>
      <c r="J155" s="95">
        <f t="shared" si="4"/>
        <v>1.8978437708938589E-3</v>
      </c>
      <c r="K155" s="37"/>
    </row>
    <row r="156" spans="3:11" x14ac:dyDescent="0.2">
      <c r="C156" s="21">
        <v>43354</v>
      </c>
      <c r="D156">
        <v>111.24</v>
      </c>
      <c r="E156">
        <v>2887.89</v>
      </c>
      <c r="F156">
        <v>24301.8</v>
      </c>
      <c r="I156" s="95">
        <f t="shared" si="5"/>
        <v>1.7004936917169422E-2</v>
      </c>
      <c r="J156" s="95">
        <f t="shared" si="4"/>
        <v>3.7398379635260603E-3</v>
      </c>
      <c r="K156" s="37"/>
    </row>
    <row r="157" spans="3:11" x14ac:dyDescent="0.2">
      <c r="C157" s="21">
        <v>43355</v>
      </c>
      <c r="D157">
        <v>111.71</v>
      </c>
      <c r="E157">
        <v>2888.92</v>
      </c>
      <c r="F157">
        <v>18891.099999999999</v>
      </c>
      <c r="I157" s="95">
        <f t="shared" si="5"/>
        <v>4.2250988852929883E-3</v>
      </c>
      <c r="J157" s="95">
        <f t="shared" si="4"/>
        <v>3.5666178420923345E-4</v>
      </c>
      <c r="K157" s="37"/>
    </row>
    <row r="158" spans="3:11" x14ac:dyDescent="0.2">
      <c r="C158" s="21">
        <v>43356</v>
      </c>
      <c r="D158">
        <v>112.91</v>
      </c>
      <c r="E158">
        <v>2904.18</v>
      </c>
      <c r="F158">
        <v>26055.599999999999</v>
      </c>
      <c r="I158" s="95">
        <f t="shared" si="5"/>
        <v>1.0742100080565864E-2</v>
      </c>
      <c r="J158" s="95">
        <f t="shared" si="4"/>
        <v>5.2822508065297757E-3</v>
      </c>
      <c r="K158" s="37"/>
    </row>
    <row r="159" spans="3:11" x14ac:dyDescent="0.2">
      <c r="C159" s="21">
        <v>43357</v>
      </c>
      <c r="D159">
        <v>113.37</v>
      </c>
      <c r="E159">
        <v>2904.98</v>
      </c>
      <c r="F159">
        <v>19122.3</v>
      </c>
      <c r="I159" s="95">
        <f t="shared" si="5"/>
        <v>4.0740412718094365E-3</v>
      </c>
      <c r="J159" s="95">
        <f t="shared" si="4"/>
        <v>2.7546501938591206E-4</v>
      </c>
      <c r="K159" s="37"/>
    </row>
    <row r="160" spans="3:11" x14ac:dyDescent="0.2">
      <c r="C160" s="21">
        <v>43360</v>
      </c>
      <c r="D160">
        <v>112.14</v>
      </c>
      <c r="E160">
        <v>2888.8</v>
      </c>
      <c r="F160">
        <v>20736.5</v>
      </c>
      <c r="I160" s="95">
        <f t="shared" si="5"/>
        <v>-1.0849431066419668E-2</v>
      </c>
      <c r="J160" s="95">
        <f t="shared" si="4"/>
        <v>-5.5697457469585654E-3</v>
      </c>
      <c r="K160" s="37"/>
    </row>
    <row r="161" spans="3:11" x14ac:dyDescent="0.2">
      <c r="C161" s="21">
        <v>43361</v>
      </c>
      <c r="D161">
        <v>113.21</v>
      </c>
      <c r="E161">
        <v>2904.31</v>
      </c>
      <c r="F161">
        <v>22170.9</v>
      </c>
      <c r="I161" s="95">
        <f t="shared" si="5"/>
        <v>9.5416443731048961E-3</v>
      </c>
      <c r="J161" s="95">
        <f t="shared" si="4"/>
        <v>5.3690113541955409E-3</v>
      </c>
      <c r="K161" s="37"/>
    </row>
    <row r="162" spans="3:11" x14ac:dyDescent="0.2">
      <c r="C162" s="21">
        <v>43362</v>
      </c>
      <c r="D162">
        <v>111.7</v>
      </c>
      <c r="E162">
        <v>2907.95</v>
      </c>
      <c r="F162">
        <v>21728.400000000001</v>
      </c>
      <c r="I162" s="95">
        <f t="shared" si="5"/>
        <v>-1.3338044342372513E-2</v>
      </c>
      <c r="J162" s="95">
        <f t="shared" si="4"/>
        <v>1.25330973621951E-3</v>
      </c>
      <c r="K162" s="37"/>
    </row>
    <row r="163" spans="3:11" x14ac:dyDescent="0.2">
      <c r="C163" s="21">
        <v>43363</v>
      </c>
      <c r="D163">
        <v>113.57</v>
      </c>
      <c r="E163">
        <v>2930.75</v>
      </c>
      <c r="F163">
        <v>23714.5</v>
      </c>
      <c r="I163" s="95">
        <f t="shared" si="5"/>
        <v>1.674127126230962E-2</v>
      </c>
      <c r="J163" s="95">
        <f t="shared" si="4"/>
        <v>7.8405749754981713E-3</v>
      </c>
      <c r="K163" s="37"/>
    </row>
    <row r="164" spans="3:11" x14ac:dyDescent="0.2">
      <c r="C164" s="21">
        <v>43364</v>
      </c>
      <c r="D164">
        <v>114.26</v>
      </c>
      <c r="E164">
        <v>2929.67</v>
      </c>
      <c r="F164">
        <v>71229.7</v>
      </c>
      <c r="I164" s="95">
        <f t="shared" si="5"/>
        <v>6.0755481201022477E-3</v>
      </c>
      <c r="J164" s="95">
        <f t="shared" si="4"/>
        <v>-3.6850635502849727E-4</v>
      </c>
      <c r="K164" s="37"/>
    </row>
    <row r="165" spans="3:11" x14ac:dyDescent="0.2">
      <c r="C165" s="21">
        <v>43367</v>
      </c>
      <c r="D165">
        <v>114.67</v>
      </c>
      <c r="E165">
        <v>2919.37</v>
      </c>
      <c r="F165">
        <v>27334.5</v>
      </c>
      <c r="I165" s="95">
        <f t="shared" si="5"/>
        <v>3.5883073691580503E-3</v>
      </c>
      <c r="J165" s="95">
        <f t="shared" si="4"/>
        <v>-3.5157543341060027E-3</v>
      </c>
      <c r="K165" s="37"/>
    </row>
    <row r="166" spans="3:11" x14ac:dyDescent="0.2">
      <c r="C166" s="21">
        <v>43368</v>
      </c>
      <c r="D166">
        <v>114.45</v>
      </c>
      <c r="E166">
        <v>2915.56</v>
      </c>
      <c r="F166">
        <v>22668</v>
      </c>
      <c r="I166" s="95">
        <f t="shared" si="5"/>
        <v>-1.9185488793930228E-3</v>
      </c>
      <c r="J166" s="95">
        <f t="shared" si="4"/>
        <v>-1.3050760951849316E-3</v>
      </c>
      <c r="K166" s="37"/>
    </row>
    <row r="167" spans="3:11" x14ac:dyDescent="0.2">
      <c r="C167" s="21">
        <v>43369</v>
      </c>
      <c r="D167">
        <v>113.98</v>
      </c>
      <c r="E167">
        <v>2905.97</v>
      </c>
      <c r="F167">
        <v>19352</v>
      </c>
      <c r="I167" s="95">
        <f t="shared" si="5"/>
        <v>-4.106596767147197E-3</v>
      </c>
      <c r="J167" s="95">
        <f t="shared" si="4"/>
        <v>-3.2892480346828901E-3</v>
      </c>
      <c r="K167" s="37"/>
    </row>
    <row r="168" spans="3:11" x14ac:dyDescent="0.2">
      <c r="C168" s="21">
        <v>43370</v>
      </c>
      <c r="D168">
        <v>114.41</v>
      </c>
      <c r="E168">
        <v>2914</v>
      </c>
      <c r="F168">
        <v>19091.3</v>
      </c>
      <c r="I168" s="95">
        <f t="shared" si="5"/>
        <v>3.7725916827513473E-3</v>
      </c>
      <c r="J168" s="95">
        <f t="shared" si="4"/>
        <v>2.7632769780832067E-3</v>
      </c>
      <c r="K168" s="37"/>
    </row>
    <row r="169" spans="3:11" x14ac:dyDescent="0.2">
      <c r="C169" s="21">
        <v>43371</v>
      </c>
      <c r="D169">
        <v>114.37</v>
      </c>
      <c r="E169">
        <v>2913.98</v>
      </c>
      <c r="F169">
        <v>21647.8</v>
      </c>
      <c r="I169" s="95">
        <f t="shared" si="5"/>
        <v>-3.4961978847991571E-4</v>
      </c>
      <c r="J169" s="95">
        <f t="shared" si="4"/>
        <v>-6.8634179821724928E-6</v>
      </c>
      <c r="K169" s="37"/>
    </row>
    <row r="170" spans="3:11" x14ac:dyDescent="0.2">
      <c r="C170" s="21">
        <v>43374</v>
      </c>
      <c r="D170">
        <v>115.61</v>
      </c>
      <c r="E170">
        <v>2924.59</v>
      </c>
      <c r="F170">
        <v>18883.099999999999</v>
      </c>
      <c r="I170" s="95">
        <f t="shared" si="5"/>
        <v>1.0842004022033613E-2</v>
      </c>
      <c r="J170" s="95">
        <f t="shared" si="4"/>
        <v>3.6410682297065566E-3</v>
      </c>
      <c r="K170" s="37"/>
    </row>
    <row r="171" spans="3:11" x14ac:dyDescent="0.2">
      <c r="C171" s="21">
        <v>43375</v>
      </c>
      <c r="D171">
        <v>115.15</v>
      </c>
      <c r="E171">
        <v>2923.43</v>
      </c>
      <c r="F171">
        <v>20787.2</v>
      </c>
      <c r="I171" s="95">
        <f t="shared" si="5"/>
        <v>-3.9788945592941216E-3</v>
      </c>
      <c r="J171" s="95">
        <f t="shared" si="4"/>
        <v>-3.9663679353352244E-4</v>
      </c>
      <c r="K171" s="37"/>
    </row>
    <row r="172" spans="3:11" x14ac:dyDescent="0.2">
      <c r="C172" s="21">
        <v>43376</v>
      </c>
      <c r="D172">
        <v>115.17</v>
      </c>
      <c r="E172">
        <v>2925.51</v>
      </c>
      <c r="F172">
        <v>16648</v>
      </c>
      <c r="I172" s="95">
        <f t="shared" si="5"/>
        <v>1.7368649587501395E-4</v>
      </c>
      <c r="J172" s="95">
        <f t="shared" si="4"/>
        <v>7.1149300650286129E-4</v>
      </c>
      <c r="K172" s="37"/>
    </row>
    <row r="173" spans="3:11" x14ac:dyDescent="0.2">
      <c r="C173" s="21">
        <v>43377</v>
      </c>
      <c r="D173">
        <v>112.79</v>
      </c>
      <c r="E173">
        <v>2901.61</v>
      </c>
      <c r="F173">
        <v>34821.699999999997</v>
      </c>
      <c r="I173" s="95">
        <f t="shared" si="5"/>
        <v>-2.0665103759659575E-2</v>
      </c>
      <c r="J173" s="95">
        <f t="shared" si="4"/>
        <v>-8.1695157425543119E-3</v>
      </c>
      <c r="K173" s="37"/>
    </row>
    <row r="174" spans="3:11" x14ac:dyDescent="0.2">
      <c r="C174" s="21">
        <v>43378</v>
      </c>
      <c r="D174">
        <v>112.13</v>
      </c>
      <c r="E174">
        <v>2885.57</v>
      </c>
      <c r="F174">
        <v>29068.9</v>
      </c>
      <c r="I174" s="95">
        <f t="shared" si="5"/>
        <v>-5.8515825871088278E-3</v>
      </c>
      <c r="J174" s="95">
        <f t="shared" si="4"/>
        <v>-5.5279655088037449E-3</v>
      </c>
      <c r="K174" s="37"/>
    </row>
    <row r="175" spans="3:11" x14ac:dyDescent="0.2">
      <c r="C175" s="21">
        <v>43381</v>
      </c>
      <c r="D175">
        <v>110.85</v>
      </c>
      <c r="E175">
        <v>2884.43</v>
      </c>
      <c r="F175">
        <v>29640.6</v>
      </c>
      <c r="I175" s="95">
        <f t="shared" si="5"/>
        <v>-1.1415321501828224E-2</v>
      </c>
      <c r="J175" s="95">
        <f t="shared" si="4"/>
        <v>-3.9506925841348295E-4</v>
      </c>
      <c r="K175" s="37"/>
    </row>
    <row r="176" spans="3:11" x14ac:dyDescent="0.2">
      <c r="C176" s="21">
        <v>43382</v>
      </c>
      <c r="D176">
        <v>112.26</v>
      </c>
      <c r="E176">
        <v>2880.34</v>
      </c>
      <c r="F176">
        <v>26198.6</v>
      </c>
      <c r="I176" s="95">
        <f t="shared" si="5"/>
        <v>1.2719891745602174E-2</v>
      </c>
      <c r="J176" s="95">
        <f t="shared" si="4"/>
        <v>-1.4179577940874877E-3</v>
      </c>
      <c r="K176" s="37"/>
    </row>
    <row r="177" spans="3:11" x14ac:dyDescent="0.2">
      <c r="C177" s="21">
        <v>43383</v>
      </c>
      <c r="D177">
        <v>106.16</v>
      </c>
      <c r="E177">
        <v>2785.68</v>
      </c>
      <c r="F177">
        <v>61376.3</v>
      </c>
      <c r="I177" s="95">
        <f t="shared" si="5"/>
        <v>-5.4338143595225485E-2</v>
      </c>
      <c r="J177" s="95">
        <f t="shared" si="4"/>
        <v>-3.2864175757028824E-2</v>
      </c>
      <c r="K177" s="37"/>
    </row>
    <row r="178" spans="3:11" x14ac:dyDescent="0.2">
      <c r="C178" s="21">
        <v>43384</v>
      </c>
      <c r="D178">
        <v>105.91</v>
      </c>
      <c r="E178">
        <v>2728.37</v>
      </c>
      <c r="F178">
        <v>63904.3</v>
      </c>
      <c r="I178" s="95">
        <f t="shared" si="5"/>
        <v>-2.3549359457423202E-3</v>
      </c>
      <c r="J178" s="95">
        <f t="shared" si="4"/>
        <v>-2.0573073719881707E-2</v>
      </c>
      <c r="K178" s="37"/>
    </row>
    <row r="179" spans="3:11" x14ac:dyDescent="0.2">
      <c r="C179" s="21">
        <v>43385</v>
      </c>
      <c r="D179">
        <v>109.57</v>
      </c>
      <c r="E179">
        <v>2767.13</v>
      </c>
      <c r="F179">
        <v>47742.1</v>
      </c>
      <c r="I179" s="95">
        <f t="shared" si="5"/>
        <v>3.4557643282031814E-2</v>
      </c>
      <c r="J179" s="95">
        <f t="shared" si="4"/>
        <v>1.4206284338267983E-2</v>
      </c>
      <c r="K179" s="37"/>
    </row>
    <row r="180" spans="3:11" x14ac:dyDescent="0.2">
      <c r="C180" s="21">
        <v>43388</v>
      </c>
      <c r="D180">
        <v>107.6</v>
      </c>
      <c r="E180">
        <v>2750.79</v>
      </c>
      <c r="F180">
        <v>32068.1</v>
      </c>
      <c r="I180" s="95">
        <f t="shared" si="5"/>
        <v>-1.7979373916217956E-2</v>
      </c>
      <c r="J180" s="95">
        <f t="shared" si="4"/>
        <v>-5.9050351808552781E-3</v>
      </c>
      <c r="K180" s="37"/>
    </row>
    <row r="181" spans="3:11" x14ac:dyDescent="0.2">
      <c r="C181" s="21">
        <v>43389</v>
      </c>
      <c r="D181">
        <v>111</v>
      </c>
      <c r="E181">
        <v>2809.92</v>
      </c>
      <c r="F181">
        <v>31610.2</v>
      </c>
      <c r="I181" s="95">
        <f t="shared" si="5"/>
        <v>3.1598513011152463E-2</v>
      </c>
      <c r="J181" s="95">
        <f t="shared" si="4"/>
        <v>2.1495643069809001E-2</v>
      </c>
      <c r="K181" s="37"/>
    </row>
    <row r="182" spans="3:11" x14ac:dyDescent="0.2">
      <c r="C182" s="21">
        <v>43390</v>
      </c>
      <c r="D182">
        <v>110.71</v>
      </c>
      <c r="E182">
        <v>2809.21</v>
      </c>
      <c r="F182">
        <v>26548.2</v>
      </c>
      <c r="I182" s="95">
        <f t="shared" si="5"/>
        <v>-2.6126126126126969E-3</v>
      </c>
      <c r="J182" s="95">
        <f t="shared" si="4"/>
        <v>-2.5267623277536178E-4</v>
      </c>
      <c r="K182" s="37"/>
    </row>
    <row r="183" spans="3:11" x14ac:dyDescent="0.2">
      <c r="C183" s="21">
        <v>43391</v>
      </c>
      <c r="D183">
        <v>108.5</v>
      </c>
      <c r="E183">
        <v>2768.78</v>
      </c>
      <c r="F183">
        <v>32506.2</v>
      </c>
      <c r="I183" s="95">
        <f t="shared" si="5"/>
        <v>-1.9962063047601841E-2</v>
      </c>
      <c r="J183" s="95">
        <f t="shared" si="4"/>
        <v>-1.4391946490294405E-2</v>
      </c>
      <c r="K183" s="37"/>
    </row>
    <row r="184" spans="3:11" x14ac:dyDescent="0.2">
      <c r="C184" s="21">
        <v>43392</v>
      </c>
      <c r="D184">
        <v>108.66</v>
      </c>
      <c r="E184">
        <v>2767.78</v>
      </c>
      <c r="F184">
        <v>32785.5</v>
      </c>
      <c r="I184" s="95">
        <f t="shared" si="5"/>
        <v>1.4746543778800802E-3</v>
      </c>
      <c r="J184" s="95">
        <f t="shared" si="4"/>
        <v>-3.6116990154511086E-4</v>
      </c>
      <c r="K184" s="37"/>
    </row>
    <row r="185" spans="3:11" x14ac:dyDescent="0.2">
      <c r="C185" s="21">
        <v>43395</v>
      </c>
      <c r="D185">
        <v>109.63</v>
      </c>
      <c r="E185">
        <v>2755.88</v>
      </c>
      <c r="F185">
        <v>26545.599999999999</v>
      </c>
      <c r="I185" s="95">
        <f t="shared" si="5"/>
        <v>8.9269280323946987E-3</v>
      </c>
      <c r="J185" s="95">
        <f t="shared" si="4"/>
        <v>-4.2994746692295305E-3</v>
      </c>
      <c r="K185" s="37"/>
    </row>
    <row r="186" spans="3:11" x14ac:dyDescent="0.2">
      <c r="C186" s="21">
        <v>43396</v>
      </c>
      <c r="D186">
        <v>108.1</v>
      </c>
      <c r="E186">
        <v>2740.69</v>
      </c>
      <c r="F186">
        <v>43770.400000000001</v>
      </c>
      <c r="I186" s="95">
        <f t="shared" si="5"/>
        <v>-1.3956033932317813E-2</v>
      </c>
      <c r="J186" s="95">
        <f t="shared" si="4"/>
        <v>-5.5118510239923202E-3</v>
      </c>
      <c r="K186" s="37"/>
    </row>
    <row r="187" spans="3:11" x14ac:dyDescent="0.2">
      <c r="C187" s="21">
        <v>43397</v>
      </c>
      <c r="D187">
        <v>102.32</v>
      </c>
      <c r="E187">
        <v>2656.1</v>
      </c>
      <c r="F187">
        <v>63897.8</v>
      </c>
      <c r="I187" s="95">
        <f t="shared" si="5"/>
        <v>-5.3469010175763221E-2</v>
      </c>
      <c r="J187" s="95">
        <f t="shared" si="4"/>
        <v>-3.0864490329077787E-2</v>
      </c>
      <c r="K187" s="37"/>
    </row>
    <row r="188" spans="3:11" x14ac:dyDescent="0.2">
      <c r="C188" s="21">
        <v>43398</v>
      </c>
      <c r="D188">
        <v>108.3</v>
      </c>
      <c r="E188">
        <v>2705.57</v>
      </c>
      <c r="F188">
        <v>61646.8</v>
      </c>
      <c r="I188" s="95">
        <f t="shared" si="5"/>
        <v>5.8444096950742708E-2</v>
      </c>
      <c r="J188" s="95">
        <f t="shared" si="4"/>
        <v>1.8625051767629408E-2</v>
      </c>
      <c r="K188" s="37"/>
    </row>
    <row r="189" spans="3:11" x14ac:dyDescent="0.2">
      <c r="C189" s="21">
        <v>43399</v>
      </c>
      <c r="D189">
        <v>106.96</v>
      </c>
      <c r="E189">
        <v>2658.69</v>
      </c>
      <c r="F189">
        <v>55523.1</v>
      </c>
      <c r="I189" s="95">
        <f t="shared" si="5"/>
        <v>-1.2373037857802416E-2</v>
      </c>
      <c r="J189" s="95">
        <f t="shared" si="4"/>
        <v>-1.7327217554896079E-2</v>
      </c>
      <c r="K189" s="37"/>
    </row>
    <row r="190" spans="3:11" x14ac:dyDescent="0.2">
      <c r="C190" s="21">
        <v>43402</v>
      </c>
      <c r="D190">
        <v>103.85</v>
      </c>
      <c r="E190">
        <v>2641.25</v>
      </c>
      <c r="F190">
        <v>55162</v>
      </c>
      <c r="I190" s="95">
        <f t="shared" si="5"/>
        <v>-2.9076290201944688E-2</v>
      </c>
      <c r="J190" s="95">
        <f t="shared" si="4"/>
        <v>-6.5596214677152709E-3</v>
      </c>
      <c r="K190" s="37"/>
    </row>
    <row r="191" spans="3:11" x14ac:dyDescent="0.2">
      <c r="C191" s="21">
        <v>43403</v>
      </c>
      <c r="D191">
        <v>103.73</v>
      </c>
      <c r="E191">
        <v>2682.63</v>
      </c>
      <c r="F191">
        <v>65350.9</v>
      </c>
      <c r="I191" s="95">
        <f t="shared" si="5"/>
        <v>-1.1555127587866698E-3</v>
      </c>
      <c r="J191" s="95">
        <f t="shared" si="4"/>
        <v>1.5666824420255576E-2</v>
      </c>
      <c r="K191" s="37"/>
    </row>
    <row r="192" spans="3:11" x14ac:dyDescent="0.2">
      <c r="C192" s="21">
        <v>43404</v>
      </c>
      <c r="D192">
        <v>106.81</v>
      </c>
      <c r="E192">
        <v>2711.74</v>
      </c>
      <c r="F192">
        <v>51062.400000000001</v>
      </c>
      <c r="I192" s="95">
        <f t="shared" si="5"/>
        <v>2.9692470837751728E-2</v>
      </c>
      <c r="J192" s="95">
        <f t="shared" si="4"/>
        <v>1.0851291456518197E-2</v>
      </c>
      <c r="K192" s="37"/>
    </row>
    <row r="193" spans="3:11" x14ac:dyDescent="0.2">
      <c r="C193" s="21">
        <v>43405</v>
      </c>
      <c r="D193">
        <v>105.92</v>
      </c>
      <c r="E193">
        <v>2740.37</v>
      </c>
      <c r="F193">
        <v>33384.199999999997</v>
      </c>
      <c r="I193" s="95">
        <f t="shared" si="5"/>
        <v>-8.3325531317292034E-3</v>
      </c>
      <c r="J193" s="95">
        <f t="shared" si="4"/>
        <v>1.05577968389301E-2</v>
      </c>
      <c r="K193" s="37"/>
    </row>
    <row r="194" spans="3:11" x14ac:dyDescent="0.2">
      <c r="C194" s="21">
        <v>43406</v>
      </c>
      <c r="D194">
        <v>106.16</v>
      </c>
      <c r="E194">
        <v>2723.06</v>
      </c>
      <c r="F194">
        <v>37680.199999999997</v>
      </c>
      <c r="I194" s="95">
        <f t="shared" si="5"/>
        <v>2.2658610271901747E-3</v>
      </c>
      <c r="J194" s="95">
        <f t="shared" si="4"/>
        <v>-6.3166652678288138E-3</v>
      </c>
      <c r="K194" s="37"/>
    </row>
    <row r="195" spans="3:11" x14ac:dyDescent="0.2">
      <c r="C195" s="21">
        <v>43409</v>
      </c>
      <c r="D195">
        <v>107.51</v>
      </c>
      <c r="E195">
        <v>2738.31</v>
      </c>
      <c r="F195">
        <v>27922.1</v>
      </c>
      <c r="I195" s="95">
        <f t="shared" si="5"/>
        <v>1.2716654107008285E-2</v>
      </c>
      <c r="J195" s="95">
        <f t="shared" si="4"/>
        <v>5.6003172901073484E-3</v>
      </c>
      <c r="K195" s="37"/>
    </row>
    <row r="196" spans="3:11" x14ac:dyDescent="0.2">
      <c r="C196" s="21">
        <v>43410</v>
      </c>
      <c r="D196">
        <v>107.72</v>
      </c>
      <c r="E196">
        <v>2755.45</v>
      </c>
      <c r="F196">
        <v>24340.2</v>
      </c>
      <c r="I196" s="95">
        <f t="shared" si="5"/>
        <v>1.9533066691470591E-3</v>
      </c>
      <c r="J196" s="95">
        <f t="shared" si="4"/>
        <v>6.2593351373656514E-3</v>
      </c>
      <c r="K196" s="37"/>
    </row>
    <row r="197" spans="3:11" x14ac:dyDescent="0.2">
      <c r="C197" s="21">
        <v>43411</v>
      </c>
      <c r="D197">
        <v>111.96</v>
      </c>
      <c r="E197">
        <v>2813.89</v>
      </c>
      <c r="F197">
        <v>37901.699999999997</v>
      </c>
      <c r="I197" s="95">
        <f t="shared" si="5"/>
        <v>3.9361307092461884E-2</v>
      </c>
      <c r="J197" s="95">
        <f t="shared" ref="J197:J260" si="6">E197/E196-1</f>
        <v>2.1208876952947708E-2</v>
      </c>
      <c r="K197" s="37"/>
    </row>
    <row r="198" spans="3:11" x14ac:dyDescent="0.2">
      <c r="C198" s="21">
        <v>43412</v>
      </c>
      <c r="D198">
        <v>111.75</v>
      </c>
      <c r="E198">
        <v>2806.83</v>
      </c>
      <c r="F198">
        <v>25644.1</v>
      </c>
      <c r="I198" s="95">
        <f t="shared" ref="I198:I261" si="7">D198/D197-1</f>
        <v>-1.87566988210075E-3</v>
      </c>
      <c r="J198" s="95">
        <f t="shared" si="6"/>
        <v>-2.5089822274502183E-3</v>
      </c>
      <c r="K198" s="37"/>
    </row>
    <row r="199" spans="3:11" x14ac:dyDescent="0.2">
      <c r="C199" s="21">
        <v>43413</v>
      </c>
      <c r="D199">
        <v>109.57</v>
      </c>
      <c r="E199">
        <v>2781.01</v>
      </c>
      <c r="F199">
        <v>32039.200000000001</v>
      </c>
      <c r="I199" s="95">
        <f t="shared" si="7"/>
        <v>-1.9507829977628677E-2</v>
      </c>
      <c r="J199" s="95">
        <f t="shared" si="6"/>
        <v>-9.1989896074931021E-3</v>
      </c>
      <c r="K199" s="37"/>
    </row>
    <row r="200" spans="3:11" x14ac:dyDescent="0.2">
      <c r="C200" s="21">
        <v>43416</v>
      </c>
      <c r="D200">
        <v>106.87</v>
      </c>
      <c r="E200">
        <v>2726.22</v>
      </c>
      <c r="F200">
        <v>33621.800000000003</v>
      </c>
      <c r="I200" s="95">
        <f t="shared" si="7"/>
        <v>-2.4641781509537219E-2</v>
      </c>
      <c r="J200" s="95">
        <f t="shared" si="6"/>
        <v>-1.9701475363267495E-2</v>
      </c>
      <c r="K200" s="37"/>
    </row>
    <row r="201" spans="3:11" x14ac:dyDescent="0.2">
      <c r="C201" s="21">
        <v>43417</v>
      </c>
      <c r="D201">
        <v>106.94</v>
      </c>
      <c r="E201">
        <v>2722.18</v>
      </c>
      <c r="F201">
        <v>35374.6</v>
      </c>
      <c r="I201" s="95">
        <f t="shared" si="7"/>
        <v>6.5500140357444003E-4</v>
      </c>
      <c r="J201" s="95">
        <f t="shared" si="6"/>
        <v>-1.4819053487979961E-3</v>
      </c>
      <c r="K201" s="37"/>
    </row>
    <row r="202" spans="3:11" x14ac:dyDescent="0.2">
      <c r="C202" s="21">
        <v>43418</v>
      </c>
      <c r="D202">
        <v>104.97</v>
      </c>
      <c r="E202">
        <v>2701.58</v>
      </c>
      <c r="F202">
        <v>39495.1</v>
      </c>
      <c r="I202" s="95">
        <f t="shared" si="7"/>
        <v>-1.8421544791471844E-2</v>
      </c>
      <c r="J202" s="95">
        <f t="shared" si="6"/>
        <v>-7.5674643116913076E-3</v>
      </c>
      <c r="K202" s="37"/>
    </row>
    <row r="203" spans="3:11" x14ac:dyDescent="0.2">
      <c r="C203" s="21">
        <v>43419</v>
      </c>
      <c r="D203">
        <v>107.28</v>
      </c>
      <c r="E203">
        <v>2730.2</v>
      </c>
      <c r="F203">
        <v>38505.199999999997</v>
      </c>
      <c r="I203" s="95">
        <f t="shared" si="7"/>
        <v>2.2006287510717426E-2</v>
      </c>
      <c r="J203" s="95">
        <f t="shared" si="6"/>
        <v>1.0593800664796094E-2</v>
      </c>
      <c r="K203" s="37"/>
    </row>
    <row r="204" spans="3:11" x14ac:dyDescent="0.2">
      <c r="C204" s="21">
        <v>43420</v>
      </c>
      <c r="D204">
        <v>108.29</v>
      </c>
      <c r="E204">
        <v>2736.27</v>
      </c>
      <c r="F204">
        <v>33502.1</v>
      </c>
      <c r="I204" s="95">
        <f t="shared" si="7"/>
        <v>9.4146159582402245E-3</v>
      </c>
      <c r="J204" s="95">
        <f t="shared" si="6"/>
        <v>2.2232803457622463E-3</v>
      </c>
      <c r="K204" s="37"/>
    </row>
    <row r="205" spans="3:11" x14ac:dyDescent="0.2">
      <c r="C205" s="21">
        <v>43423</v>
      </c>
      <c r="D205">
        <v>104.62</v>
      </c>
      <c r="E205">
        <v>2690.73</v>
      </c>
      <c r="F205">
        <v>44773.9</v>
      </c>
      <c r="I205" s="95">
        <f t="shared" si="7"/>
        <v>-3.3890479268630536E-2</v>
      </c>
      <c r="J205" s="95">
        <f t="shared" si="6"/>
        <v>-1.6643094431470606E-2</v>
      </c>
      <c r="K205" s="37"/>
    </row>
    <row r="206" spans="3:11" x14ac:dyDescent="0.2">
      <c r="C206" s="21">
        <v>43424</v>
      </c>
      <c r="D206">
        <v>101.71</v>
      </c>
      <c r="E206">
        <v>2641.89</v>
      </c>
      <c r="F206">
        <v>64052.5</v>
      </c>
      <c r="I206" s="95">
        <f t="shared" si="7"/>
        <v>-2.7814949340470352E-2</v>
      </c>
      <c r="J206" s="95">
        <f t="shared" si="6"/>
        <v>-1.8151208036480848E-2</v>
      </c>
      <c r="K206" s="37"/>
    </row>
    <row r="207" spans="3:11" x14ac:dyDescent="0.2">
      <c r="C207" s="21">
        <v>43425</v>
      </c>
      <c r="D207">
        <v>103.11</v>
      </c>
      <c r="E207">
        <v>2649.93</v>
      </c>
      <c r="F207">
        <v>28130.6</v>
      </c>
      <c r="I207" s="95">
        <f t="shared" si="7"/>
        <v>1.3764624913971124E-2</v>
      </c>
      <c r="J207" s="95">
        <f t="shared" si="6"/>
        <v>3.0432758366170098E-3</v>
      </c>
      <c r="K207" s="37"/>
    </row>
    <row r="208" spans="3:11" x14ac:dyDescent="0.2">
      <c r="C208" s="21">
        <v>43426</v>
      </c>
      <c r="D208">
        <v>103.11</v>
      </c>
      <c r="E208">
        <v>2649.93</v>
      </c>
      <c r="F208" t="e">
        <v>#N/A</v>
      </c>
      <c r="I208" s="95">
        <f t="shared" si="7"/>
        <v>0</v>
      </c>
      <c r="J208" s="95">
        <f t="shared" si="6"/>
        <v>0</v>
      </c>
      <c r="K208" s="37"/>
    </row>
    <row r="209" spans="3:11" x14ac:dyDescent="0.2">
      <c r="C209" s="21">
        <v>43427</v>
      </c>
      <c r="D209">
        <v>103.07</v>
      </c>
      <c r="E209">
        <v>2632.56</v>
      </c>
      <c r="F209">
        <v>13823.1</v>
      </c>
      <c r="I209" s="95">
        <f t="shared" si="7"/>
        <v>-3.8793521481916837E-4</v>
      </c>
      <c r="J209" s="95">
        <f t="shared" si="6"/>
        <v>-6.5548901291732076E-3</v>
      </c>
      <c r="K209" s="37"/>
    </row>
    <row r="210" spans="3:11" x14ac:dyDescent="0.2">
      <c r="C210" s="21">
        <v>43430</v>
      </c>
      <c r="D210">
        <v>106.47</v>
      </c>
      <c r="E210">
        <v>2673.45</v>
      </c>
      <c r="F210">
        <v>32336.2</v>
      </c>
      <c r="I210" s="95">
        <f t="shared" si="7"/>
        <v>3.2987290191132335E-2</v>
      </c>
      <c r="J210" s="95">
        <f t="shared" si="6"/>
        <v>1.5532409517731827E-2</v>
      </c>
      <c r="K210" s="37"/>
    </row>
    <row r="211" spans="3:11" x14ac:dyDescent="0.2">
      <c r="C211" s="21">
        <v>43431</v>
      </c>
      <c r="D211">
        <v>107.14</v>
      </c>
      <c r="E211">
        <v>2682.17</v>
      </c>
      <c r="F211">
        <v>29124.5</v>
      </c>
      <c r="I211" s="95">
        <f t="shared" si="7"/>
        <v>6.2928524466985269E-3</v>
      </c>
      <c r="J211" s="95">
        <f t="shared" si="6"/>
        <v>3.261703042884756E-3</v>
      </c>
      <c r="K211" s="37"/>
    </row>
    <row r="212" spans="3:11" x14ac:dyDescent="0.2">
      <c r="C212" s="21">
        <v>43432</v>
      </c>
      <c r="D212">
        <v>111.12</v>
      </c>
      <c r="E212">
        <v>2743.79</v>
      </c>
      <c r="F212">
        <v>46788.5</v>
      </c>
      <c r="I212" s="95">
        <f t="shared" si="7"/>
        <v>3.7147657270860668E-2</v>
      </c>
      <c r="J212" s="95">
        <f t="shared" si="6"/>
        <v>2.297393528374414E-2</v>
      </c>
      <c r="K212" s="37"/>
    </row>
    <row r="213" spans="3:11" x14ac:dyDescent="0.2">
      <c r="C213" s="21">
        <v>43433</v>
      </c>
      <c r="D213">
        <v>110.19</v>
      </c>
      <c r="E213">
        <v>2737.76</v>
      </c>
      <c r="F213">
        <v>28123.200000000001</v>
      </c>
      <c r="I213" s="95">
        <f t="shared" si="7"/>
        <v>-8.3693304535638058E-3</v>
      </c>
      <c r="J213" s="95">
        <f t="shared" si="6"/>
        <v>-2.1976900564546487E-3</v>
      </c>
      <c r="K213" s="37"/>
    </row>
    <row r="214" spans="3:11" x14ac:dyDescent="0.2">
      <c r="C214" s="21">
        <v>43434</v>
      </c>
      <c r="D214">
        <v>110.89</v>
      </c>
      <c r="E214">
        <v>2760.17</v>
      </c>
      <c r="F214">
        <v>33665.599999999999</v>
      </c>
      <c r="I214" s="95">
        <f t="shared" si="7"/>
        <v>6.3526635810873255E-3</v>
      </c>
      <c r="J214" s="95">
        <f t="shared" si="6"/>
        <v>8.1855239319734707E-3</v>
      </c>
      <c r="K214" s="37"/>
    </row>
    <row r="215" spans="3:11" x14ac:dyDescent="0.2">
      <c r="C215" s="21">
        <v>43437</v>
      </c>
      <c r="D215">
        <v>112.09</v>
      </c>
      <c r="E215">
        <v>2790.37</v>
      </c>
      <c r="F215">
        <v>34732.800000000003</v>
      </c>
      <c r="I215" s="95">
        <f t="shared" si="7"/>
        <v>1.0821534854360104E-2</v>
      </c>
      <c r="J215" s="95">
        <f t="shared" si="6"/>
        <v>1.0941355061463431E-2</v>
      </c>
      <c r="K215" s="37"/>
    </row>
    <row r="216" spans="3:11" x14ac:dyDescent="0.2">
      <c r="C216" s="21">
        <v>43438</v>
      </c>
      <c r="D216">
        <v>108.52</v>
      </c>
      <c r="E216">
        <v>2700.06</v>
      </c>
      <c r="F216">
        <v>45197</v>
      </c>
      <c r="I216" s="95">
        <f t="shared" si="7"/>
        <v>-3.1849406726737528E-2</v>
      </c>
      <c r="J216" s="95">
        <f t="shared" si="6"/>
        <v>-3.2364883510072162E-2</v>
      </c>
      <c r="K216" s="37"/>
    </row>
    <row r="217" spans="3:11" x14ac:dyDescent="0.2">
      <c r="C217" s="21">
        <v>43439</v>
      </c>
      <c r="D217">
        <v>108.52</v>
      </c>
      <c r="E217">
        <v>2700.06</v>
      </c>
      <c r="F217" t="e">
        <v>#N/A</v>
      </c>
      <c r="I217" s="95">
        <f t="shared" si="7"/>
        <v>0</v>
      </c>
      <c r="J217" s="95">
        <f t="shared" si="6"/>
        <v>0</v>
      </c>
      <c r="K217" s="37"/>
    </row>
    <row r="218" spans="3:11" x14ac:dyDescent="0.2">
      <c r="C218" s="21">
        <v>43440</v>
      </c>
      <c r="D218">
        <v>109.19</v>
      </c>
      <c r="E218">
        <v>2695.95</v>
      </c>
      <c r="F218">
        <v>49107.4</v>
      </c>
      <c r="I218" s="95">
        <f t="shared" si="7"/>
        <v>6.1739771470696869E-3</v>
      </c>
      <c r="J218" s="95">
        <f t="shared" si="6"/>
        <v>-1.5221883958135285E-3</v>
      </c>
      <c r="K218" s="37"/>
    </row>
    <row r="219" spans="3:11" x14ac:dyDescent="0.2">
      <c r="C219" s="21">
        <v>43441</v>
      </c>
      <c r="D219">
        <v>104.82</v>
      </c>
      <c r="E219">
        <v>2633.08</v>
      </c>
      <c r="F219">
        <v>45044.9</v>
      </c>
      <c r="I219" s="95">
        <f t="shared" si="7"/>
        <v>-4.002198003480173E-2</v>
      </c>
      <c r="J219" s="95">
        <f t="shared" si="6"/>
        <v>-2.3320165433335149E-2</v>
      </c>
      <c r="K219" s="37"/>
    </row>
    <row r="220" spans="3:11" x14ac:dyDescent="0.2">
      <c r="C220" s="21">
        <v>43444</v>
      </c>
      <c r="D220">
        <v>107.59</v>
      </c>
      <c r="E220">
        <v>2637.72</v>
      </c>
      <c r="F220">
        <v>40801.5</v>
      </c>
      <c r="I220" s="95">
        <f t="shared" si="7"/>
        <v>2.6426254531578097E-2</v>
      </c>
      <c r="J220" s="95">
        <f t="shared" si="6"/>
        <v>1.762194844060927E-3</v>
      </c>
      <c r="K220" s="37"/>
    </row>
    <row r="221" spans="3:11" x14ac:dyDescent="0.2">
      <c r="C221" s="21">
        <v>43445</v>
      </c>
      <c r="D221">
        <v>108.59</v>
      </c>
      <c r="E221">
        <v>2636.78</v>
      </c>
      <c r="F221">
        <v>42381.9</v>
      </c>
      <c r="I221" s="95">
        <f t="shared" si="7"/>
        <v>9.2945441026117681E-3</v>
      </c>
      <c r="J221" s="95">
        <f t="shared" si="6"/>
        <v>-3.5636837875119287E-4</v>
      </c>
      <c r="K221" s="37"/>
    </row>
    <row r="222" spans="3:11" x14ac:dyDescent="0.2">
      <c r="C222" s="21">
        <v>43446</v>
      </c>
      <c r="D222">
        <v>109.08</v>
      </c>
      <c r="E222">
        <v>2651.07</v>
      </c>
      <c r="F222">
        <v>36183</v>
      </c>
      <c r="I222" s="95">
        <f t="shared" si="7"/>
        <v>4.5123860392299875E-3</v>
      </c>
      <c r="J222" s="95">
        <f t="shared" si="6"/>
        <v>5.4194889220944287E-3</v>
      </c>
      <c r="K222" s="37"/>
    </row>
    <row r="223" spans="3:11" x14ac:dyDescent="0.2">
      <c r="C223" s="21">
        <v>43447</v>
      </c>
      <c r="D223">
        <v>109.45</v>
      </c>
      <c r="E223">
        <v>2650.54</v>
      </c>
      <c r="F223">
        <v>31333.4</v>
      </c>
      <c r="I223" s="95">
        <f t="shared" si="7"/>
        <v>3.3920058672534115E-3</v>
      </c>
      <c r="J223" s="95">
        <f t="shared" si="6"/>
        <v>-1.9991927787654795E-4</v>
      </c>
      <c r="K223" s="37"/>
    </row>
    <row r="224" spans="3:11" x14ac:dyDescent="0.2">
      <c r="C224" s="21">
        <v>43448</v>
      </c>
      <c r="D224">
        <v>106.03</v>
      </c>
      <c r="E224">
        <v>2599.9499999999998</v>
      </c>
      <c r="F224">
        <v>47043.1</v>
      </c>
      <c r="I224" s="95">
        <f t="shared" si="7"/>
        <v>-3.1247144814984029E-2</v>
      </c>
      <c r="J224" s="95">
        <f t="shared" si="6"/>
        <v>-1.9086676677205427E-2</v>
      </c>
      <c r="K224" s="37"/>
    </row>
    <row r="225" spans="3:11" x14ac:dyDescent="0.2">
      <c r="C225" s="21">
        <v>43451</v>
      </c>
      <c r="D225">
        <v>102.89</v>
      </c>
      <c r="E225">
        <v>2545.94</v>
      </c>
      <c r="F225">
        <v>56957.3</v>
      </c>
      <c r="I225" s="95">
        <f t="shared" si="7"/>
        <v>-2.9614260115061741E-2</v>
      </c>
      <c r="J225" s="95">
        <f t="shared" si="6"/>
        <v>-2.0773476413007863E-2</v>
      </c>
      <c r="K225" s="37"/>
    </row>
    <row r="226" spans="3:11" x14ac:dyDescent="0.2">
      <c r="C226" s="21">
        <v>43452</v>
      </c>
      <c r="D226">
        <v>103.97</v>
      </c>
      <c r="E226">
        <v>2546.16</v>
      </c>
      <c r="F226">
        <v>49319.199999999997</v>
      </c>
      <c r="I226" s="95">
        <f t="shared" si="7"/>
        <v>1.0496646904460949E-2</v>
      </c>
      <c r="J226" s="95">
        <f t="shared" si="6"/>
        <v>8.6412091408138991E-5</v>
      </c>
      <c r="K226" s="37"/>
    </row>
    <row r="227" spans="3:11" x14ac:dyDescent="0.2">
      <c r="C227" s="21">
        <v>43453</v>
      </c>
      <c r="D227">
        <v>103.69</v>
      </c>
      <c r="E227">
        <v>2506.96</v>
      </c>
      <c r="F227">
        <v>68198.2</v>
      </c>
      <c r="I227" s="95">
        <f t="shared" si="7"/>
        <v>-2.6930845436183848E-3</v>
      </c>
      <c r="J227" s="95">
        <f t="shared" si="6"/>
        <v>-1.5395733182517968E-2</v>
      </c>
      <c r="K227" s="37"/>
    </row>
    <row r="228" spans="3:11" x14ac:dyDescent="0.2">
      <c r="C228" s="21">
        <v>43454</v>
      </c>
      <c r="D228">
        <v>101.51</v>
      </c>
      <c r="E228">
        <v>2467.42</v>
      </c>
      <c r="F228">
        <v>70334.2</v>
      </c>
      <c r="I228" s="95">
        <f t="shared" si="7"/>
        <v>-2.1024206770180243E-2</v>
      </c>
      <c r="J228" s="95">
        <f t="shared" si="6"/>
        <v>-1.5772090500047797E-2</v>
      </c>
      <c r="K228" s="37"/>
    </row>
    <row r="229" spans="3:11" x14ac:dyDescent="0.2">
      <c r="C229" s="21">
        <v>43455</v>
      </c>
      <c r="D229">
        <v>98.23</v>
      </c>
      <c r="E229">
        <v>2416.62</v>
      </c>
      <c r="F229">
        <v>111242.1</v>
      </c>
      <c r="I229" s="95">
        <f t="shared" si="7"/>
        <v>-3.2312087479066109E-2</v>
      </c>
      <c r="J229" s="95">
        <f t="shared" si="6"/>
        <v>-2.0588306814405377E-2</v>
      </c>
      <c r="K229" s="37"/>
    </row>
    <row r="230" spans="3:11" x14ac:dyDescent="0.2">
      <c r="C230" s="21">
        <v>43458</v>
      </c>
      <c r="D230">
        <v>94.13</v>
      </c>
      <c r="E230">
        <v>2351.1</v>
      </c>
      <c r="F230">
        <v>43935.199999999997</v>
      </c>
      <c r="I230" s="95">
        <f t="shared" si="7"/>
        <v>-4.1738776341240014E-2</v>
      </c>
      <c r="J230" s="95">
        <f t="shared" si="6"/>
        <v>-2.711224768478282E-2</v>
      </c>
      <c r="K230" s="37"/>
    </row>
    <row r="231" spans="3:11" x14ac:dyDescent="0.2">
      <c r="C231" s="21">
        <v>43459</v>
      </c>
      <c r="D231">
        <v>94.13</v>
      </c>
      <c r="E231">
        <v>2351.1</v>
      </c>
      <c r="F231" t="e">
        <v>#N/A</v>
      </c>
      <c r="I231" s="95">
        <f t="shared" si="7"/>
        <v>0</v>
      </c>
      <c r="J231" s="95">
        <f t="shared" si="6"/>
        <v>0</v>
      </c>
      <c r="K231" s="37"/>
    </row>
    <row r="232" spans="3:11" x14ac:dyDescent="0.2">
      <c r="C232" s="21">
        <v>43460</v>
      </c>
      <c r="D232">
        <v>100.56</v>
      </c>
      <c r="E232">
        <v>2467.6999999999998</v>
      </c>
      <c r="F232">
        <v>51634.8</v>
      </c>
      <c r="I232" s="95">
        <f t="shared" si="7"/>
        <v>6.8309784340805368E-2</v>
      </c>
      <c r="J232" s="95">
        <f t="shared" si="6"/>
        <v>4.9593807154098002E-2</v>
      </c>
      <c r="K232" s="37"/>
    </row>
    <row r="233" spans="3:11" x14ac:dyDescent="0.2">
      <c r="C233" s="21">
        <v>43461</v>
      </c>
      <c r="D233">
        <v>101.18</v>
      </c>
      <c r="E233">
        <v>2488.83</v>
      </c>
      <c r="F233">
        <v>49498.5</v>
      </c>
      <c r="I233" s="95">
        <f t="shared" si="7"/>
        <v>6.1654733492442215E-3</v>
      </c>
      <c r="J233" s="95">
        <f t="shared" si="6"/>
        <v>8.5626291688616352E-3</v>
      </c>
      <c r="K233" s="37"/>
    </row>
    <row r="234" spans="3:11" x14ac:dyDescent="0.2">
      <c r="C234" s="21">
        <v>43462</v>
      </c>
      <c r="D234">
        <v>100.39</v>
      </c>
      <c r="E234">
        <v>2485.7399999999998</v>
      </c>
      <c r="F234">
        <v>38169.300000000003</v>
      </c>
      <c r="I234" s="95">
        <f t="shared" si="7"/>
        <v>-7.8078671674244315E-3</v>
      </c>
      <c r="J234" s="95">
        <f t="shared" si="6"/>
        <v>-1.2415472330372657E-3</v>
      </c>
      <c r="K234" s="37"/>
    </row>
    <row r="235" spans="3:11" x14ac:dyDescent="0.2">
      <c r="C235" s="21">
        <v>43465</v>
      </c>
      <c r="D235">
        <v>101.57</v>
      </c>
      <c r="E235">
        <v>2506.85</v>
      </c>
      <c r="F235">
        <v>33173.800000000003</v>
      </c>
      <c r="I235" s="95">
        <f t="shared" si="7"/>
        <v>1.1754158780755031E-2</v>
      </c>
      <c r="J235" s="95">
        <f t="shared" si="6"/>
        <v>8.4924408827955489E-3</v>
      </c>
      <c r="K235" s="37"/>
    </row>
    <row r="236" spans="3:11" x14ac:dyDescent="0.2">
      <c r="C236" s="21">
        <v>43466</v>
      </c>
      <c r="D236">
        <v>101.57</v>
      </c>
      <c r="E236">
        <v>2506.85</v>
      </c>
      <c r="F236" t="e">
        <v>#N/A</v>
      </c>
      <c r="I236" s="95">
        <f t="shared" si="7"/>
        <v>0</v>
      </c>
      <c r="J236" s="95">
        <f t="shared" si="6"/>
        <v>0</v>
      </c>
      <c r="K236" s="37"/>
    </row>
    <row r="237" spans="3:11" x14ac:dyDescent="0.2">
      <c r="C237" s="21">
        <v>43467</v>
      </c>
      <c r="D237">
        <v>101.12</v>
      </c>
      <c r="E237">
        <v>2510.0300000000002</v>
      </c>
      <c r="F237">
        <v>35329.300000000003</v>
      </c>
      <c r="I237" s="95">
        <f t="shared" si="7"/>
        <v>-4.4304420596631422E-3</v>
      </c>
      <c r="J237" s="95">
        <f t="shared" si="6"/>
        <v>1.2685242435728217E-3</v>
      </c>
      <c r="K237" s="37"/>
    </row>
    <row r="238" spans="3:11" x14ac:dyDescent="0.2">
      <c r="C238" s="21">
        <v>43468</v>
      </c>
      <c r="D238">
        <v>97.4</v>
      </c>
      <c r="E238">
        <v>2447.89</v>
      </c>
      <c r="F238">
        <v>42578.400000000001</v>
      </c>
      <c r="I238" s="95">
        <f t="shared" si="7"/>
        <v>-3.6787974683544333E-2</v>
      </c>
      <c r="J238" s="95">
        <f t="shared" si="6"/>
        <v>-2.4756676215025419E-2</v>
      </c>
      <c r="K238" s="37"/>
    </row>
    <row r="239" spans="3:11" x14ac:dyDescent="0.2">
      <c r="C239" s="21">
        <v>43469</v>
      </c>
      <c r="D239">
        <v>101.93</v>
      </c>
      <c r="E239">
        <v>2531.94</v>
      </c>
      <c r="F239">
        <v>44060.6</v>
      </c>
      <c r="I239" s="95">
        <f t="shared" si="7"/>
        <v>4.650924024640668E-2</v>
      </c>
      <c r="J239" s="95">
        <f t="shared" si="6"/>
        <v>3.4335693188827898E-2</v>
      </c>
      <c r="K239" s="37"/>
    </row>
    <row r="240" spans="3:11" x14ac:dyDescent="0.2">
      <c r="C240" s="21">
        <v>43472</v>
      </c>
      <c r="D240">
        <v>102.06</v>
      </c>
      <c r="E240">
        <v>2549.69</v>
      </c>
      <c r="F240">
        <v>35656.1</v>
      </c>
      <c r="I240" s="95">
        <f t="shared" si="7"/>
        <v>1.2753850681839207E-3</v>
      </c>
      <c r="J240" s="95">
        <f t="shared" si="6"/>
        <v>7.0104346864459099E-3</v>
      </c>
      <c r="K240" s="37"/>
    </row>
    <row r="241" spans="3:11" x14ac:dyDescent="0.2">
      <c r="C241" s="21">
        <v>43473</v>
      </c>
      <c r="D241">
        <v>102.8</v>
      </c>
      <c r="E241">
        <v>2574.41</v>
      </c>
      <c r="F241">
        <v>31514.400000000001</v>
      </c>
      <c r="I241" s="95">
        <f t="shared" si="7"/>
        <v>7.2506368802665033E-3</v>
      </c>
      <c r="J241" s="95">
        <f t="shared" si="6"/>
        <v>9.6952962909215845E-3</v>
      </c>
      <c r="K241" s="37"/>
    </row>
    <row r="242" spans="3:11" x14ac:dyDescent="0.2">
      <c r="C242" s="21">
        <v>43474</v>
      </c>
      <c r="D242">
        <v>104.27</v>
      </c>
      <c r="E242">
        <v>2584.96</v>
      </c>
      <c r="F242">
        <v>32280.799999999999</v>
      </c>
      <c r="I242" s="95">
        <f t="shared" si="7"/>
        <v>1.4299610894941583E-2</v>
      </c>
      <c r="J242" s="95">
        <f t="shared" si="6"/>
        <v>4.0980263439003295E-3</v>
      </c>
      <c r="K242" s="37"/>
    </row>
    <row r="243" spans="3:11" x14ac:dyDescent="0.2">
      <c r="C243" s="21">
        <v>43475</v>
      </c>
      <c r="D243">
        <v>103.6</v>
      </c>
      <c r="E243">
        <v>2596.64</v>
      </c>
      <c r="F243">
        <v>30067.599999999999</v>
      </c>
      <c r="I243" s="95">
        <f t="shared" si="7"/>
        <v>-6.4256257792270066E-3</v>
      </c>
      <c r="J243" s="95">
        <f t="shared" si="6"/>
        <v>4.5184451596929076E-3</v>
      </c>
      <c r="K243" s="37"/>
    </row>
    <row r="244" spans="3:11" x14ac:dyDescent="0.2">
      <c r="C244" s="21">
        <v>43476</v>
      </c>
      <c r="D244">
        <v>102.8</v>
      </c>
      <c r="E244">
        <v>2596.2600000000002</v>
      </c>
      <c r="F244">
        <v>28314.2</v>
      </c>
      <c r="I244" s="95">
        <f t="shared" si="7"/>
        <v>-7.7220077220077066E-3</v>
      </c>
      <c r="J244" s="95">
        <f t="shared" si="6"/>
        <v>-1.4634296629478794E-4</v>
      </c>
      <c r="K244" s="37"/>
    </row>
    <row r="245" spans="3:11" x14ac:dyDescent="0.2">
      <c r="C245" s="21">
        <v>43479</v>
      </c>
      <c r="D245">
        <v>102.05</v>
      </c>
      <c r="E245">
        <v>2582.61</v>
      </c>
      <c r="F245">
        <v>28437.1</v>
      </c>
      <c r="I245" s="95">
        <f t="shared" si="7"/>
        <v>-7.2957198443579507E-3</v>
      </c>
      <c r="J245" s="95">
        <f t="shared" si="6"/>
        <v>-5.2575628018766141E-3</v>
      </c>
      <c r="K245" s="37"/>
    </row>
    <row r="246" spans="3:11" x14ac:dyDescent="0.2">
      <c r="C246" s="21">
        <v>43480</v>
      </c>
      <c r="D246">
        <v>105.01</v>
      </c>
      <c r="E246">
        <v>2610.3000000000002</v>
      </c>
      <c r="F246">
        <v>31587.599999999999</v>
      </c>
      <c r="I246" s="95">
        <f t="shared" si="7"/>
        <v>2.9005389514943802E-2</v>
      </c>
      <c r="J246" s="95">
        <f t="shared" si="6"/>
        <v>1.0721711756711327E-2</v>
      </c>
      <c r="K246" s="37"/>
    </row>
    <row r="247" spans="3:11" x14ac:dyDescent="0.2">
      <c r="C247" s="21">
        <v>43481</v>
      </c>
      <c r="D247">
        <v>105.38</v>
      </c>
      <c r="E247">
        <v>2616.1</v>
      </c>
      <c r="F247">
        <v>29853.9</v>
      </c>
      <c r="I247" s="95">
        <f t="shared" si="7"/>
        <v>3.5234739548613003E-3</v>
      </c>
      <c r="J247" s="95">
        <f t="shared" si="6"/>
        <v>2.2219668237366541E-3</v>
      </c>
      <c r="K247" s="37"/>
    </row>
    <row r="248" spans="3:11" x14ac:dyDescent="0.2">
      <c r="C248" s="21">
        <v>43482</v>
      </c>
      <c r="D248">
        <v>106.12</v>
      </c>
      <c r="E248">
        <v>2635.96</v>
      </c>
      <c r="F248">
        <v>28393</v>
      </c>
      <c r="I248" s="95">
        <f t="shared" si="7"/>
        <v>7.0222053520592187E-3</v>
      </c>
      <c r="J248" s="95">
        <f t="shared" si="6"/>
        <v>7.5914529261114083E-3</v>
      </c>
      <c r="K248" s="37"/>
    </row>
    <row r="249" spans="3:11" x14ac:dyDescent="0.2">
      <c r="C249" s="21">
        <v>43483</v>
      </c>
      <c r="D249">
        <v>107.71</v>
      </c>
      <c r="E249">
        <v>2670.71</v>
      </c>
      <c r="F249">
        <v>37427.599999999999</v>
      </c>
      <c r="I249" s="95">
        <f t="shared" si="7"/>
        <v>1.4983038070109256E-2</v>
      </c>
      <c r="J249" s="95">
        <f t="shared" si="6"/>
        <v>1.3183052853609212E-2</v>
      </c>
      <c r="K249" s="37"/>
    </row>
    <row r="250" spans="3:11" x14ac:dyDescent="0.2">
      <c r="C250" s="21">
        <v>43486</v>
      </c>
      <c r="D250">
        <v>107.71</v>
      </c>
      <c r="E250">
        <v>2670.71</v>
      </c>
      <c r="F250" t="e">
        <v>#N/A</v>
      </c>
      <c r="I250" s="95">
        <f t="shared" si="7"/>
        <v>0</v>
      </c>
      <c r="J250" s="95">
        <f t="shared" si="6"/>
        <v>0</v>
      </c>
      <c r="K250" s="37"/>
    </row>
    <row r="251" spans="3:11" x14ac:dyDescent="0.2">
      <c r="C251" s="21">
        <v>43487</v>
      </c>
      <c r="D251">
        <v>105.68</v>
      </c>
      <c r="E251">
        <v>2632.9</v>
      </c>
      <c r="F251">
        <v>32371.3</v>
      </c>
      <c r="I251" s="95">
        <f t="shared" si="7"/>
        <v>-1.8846903722959718E-2</v>
      </c>
      <c r="J251" s="95">
        <f t="shared" si="6"/>
        <v>-1.4157284018107563E-2</v>
      </c>
      <c r="K251" s="37"/>
    </row>
    <row r="252" spans="3:11" x14ac:dyDescent="0.2">
      <c r="C252" s="21">
        <v>43488</v>
      </c>
      <c r="D252">
        <v>106.71</v>
      </c>
      <c r="E252">
        <v>2638.7</v>
      </c>
      <c r="F252">
        <v>25874.3</v>
      </c>
      <c r="I252" s="95">
        <f t="shared" si="7"/>
        <v>9.7464042392125805E-3</v>
      </c>
      <c r="J252" s="95">
        <f t="shared" si="6"/>
        <v>2.2028941471379238E-3</v>
      </c>
      <c r="K252" s="37"/>
    </row>
    <row r="253" spans="3:11" x14ac:dyDescent="0.2">
      <c r="C253" s="21">
        <v>43489</v>
      </c>
      <c r="D253">
        <v>106.2</v>
      </c>
      <c r="E253">
        <v>2642.33</v>
      </c>
      <c r="F253">
        <v>23164.799999999999</v>
      </c>
      <c r="I253" s="95">
        <f t="shared" si="7"/>
        <v>-4.77930840595997E-3</v>
      </c>
      <c r="J253" s="95">
        <f t="shared" si="6"/>
        <v>1.3756774169098041E-3</v>
      </c>
      <c r="K253" s="37"/>
    </row>
    <row r="254" spans="3:11" x14ac:dyDescent="0.2">
      <c r="C254" s="21">
        <v>43490</v>
      </c>
      <c r="D254">
        <v>107.17</v>
      </c>
      <c r="E254">
        <v>2664.76</v>
      </c>
      <c r="F254">
        <v>31218.2</v>
      </c>
      <c r="I254" s="95">
        <f t="shared" si="7"/>
        <v>9.1337099811676925E-3</v>
      </c>
      <c r="J254" s="95">
        <f t="shared" si="6"/>
        <v>8.4887201825663006E-3</v>
      </c>
      <c r="K254" s="37"/>
    </row>
    <row r="255" spans="3:11" x14ac:dyDescent="0.2">
      <c r="C255" s="21">
        <v>43493</v>
      </c>
      <c r="D255">
        <v>105.08</v>
      </c>
      <c r="E255">
        <v>2643.85</v>
      </c>
      <c r="F255">
        <v>29476.7</v>
      </c>
      <c r="I255" s="95">
        <f t="shared" si="7"/>
        <v>-1.950172622935531E-2</v>
      </c>
      <c r="J255" s="95">
        <f t="shared" si="6"/>
        <v>-7.8468605052613993E-3</v>
      </c>
      <c r="K255" s="37"/>
    </row>
    <row r="256" spans="3:11" x14ac:dyDescent="0.2">
      <c r="C256" s="21">
        <v>43494</v>
      </c>
      <c r="D256">
        <v>102.94</v>
      </c>
      <c r="E256">
        <v>2640</v>
      </c>
      <c r="F256">
        <v>31490.5</v>
      </c>
      <c r="I256" s="95">
        <f t="shared" si="7"/>
        <v>-2.0365435858393566E-2</v>
      </c>
      <c r="J256" s="95">
        <f t="shared" si="6"/>
        <v>-1.4562096941959091E-3</v>
      </c>
      <c r="K256" s="37"/>
    </row>
    <row r="257" spans="3:11" x14ac:dyDescent="0.2">
      <c r="C257" s="21">
        <v>43495</v>
      </c>
      <c r="D257">
        <v>106.38</v>
      </c>
      <c r="E257">
        <v>2681.05</v>
      </c>
      <c r="F257">
        <v>49471.9</v>
      </c>
      <c r="I257" s="95">
        <f t="shared" si="7"/>
        <v>3.3417524771711671E-2</v>
      </c>
      <c r="J257" s="95">
        <f t="shared" si="6"/>
        <v>1.5549242424242493E-2</v>
      </c>
      <c r="K257" s="37"/>
    </row>
    <row r="258" spans="3:11" x14ac:dyDescent="0.2">
      <c r="C258" s="21">
        <v>43496</v>
      </c>
      <c r="D258">
        <v>104.43</v>
      </c>
      <c r="E258">
        <v>2704.1</v>
      </c>
      <c r="F258">
        <v>55636.4</v>
      </c>
      <c r="I258" s="95">
        <f t="shared" si="7"/>
        <v>-1.8330513254370961E-2</v>
      </c>
      <c r="J258" s="95">
        <f t="shared" si="6"/>
        <v>8.5973778929895328E-3</v>
      </c>
      <c r="K258" s="37"/>
    </row>
    <row r="259" spans="3:11" x14ac:dyDescent="0.2">
      <c r="C259" s="21">
        <v>43497</v>
      </c>
      <c r="D259">
        <v>102.78</v>
      </c>
      <c r="E259">
        <v>2706.53</v>
      </c>
      <c r="F259">
        <v>35535.699999999997</v>
      </c>
      <c r="I259" s="95">
        <f t="shared" si="7"/>
        <v>-1.5800057454754435E-2</v>
      </c>
      <c r="J259" s="95">
        <f t="shared" si="6"/>
        <v>8.98635405495396E-4</v>
      </c>
      <c r="K259" s="37"/>
    </row>
    <row r="260" spans="3:11" x14ac:dyDescent="0.2">
      <c r="C260" s="21">
        <v>43500</v>
      </c>
      <c r="D260">
        <v>105.74</v>
      </c>
      <c r="E260">
        <v>2724.87</v>
      </c>
      <c r="F260">
        <v>31315.3</v>
      </c>
      <c r="I260" s="95">
        <f t="shared" si="7"/>
        <v>2.8799377310760876E-2</v>
      </c>
      <c r="J260" s="95">
        <f t="shared" si="6"/>
        <v>6.7762042172079262E-3</v>
      </c>
      <c r="K260" s="37"/>
    </row>
    <row r="261" spans="3:11" x14ac:dyDescent="0.2">
      <c r="C261" s="21">
        <v>43501</v>
      </c>
      <c r="D261">
        <v>107.22</v>
      </c>
      <c r="E261">
        <v>2737.7</v>
      </c>
      <c r="F261">
        <v>27325.4</v>
      </c>
      <c r="I261" s="95">
        <f t="shared" si="7"/>
        <v>1.3996595422735014E-2</v>
      </c>
      <c r="J261" s="95">
        <f t="shared" ref="J261:J324" si="8">E261/E260-1</f>
        <v>4.7084815055395968E-3</v>
      </c>
      <c r="K261" s="37"/>
    </row>
    <row r="262" spans="3:11" x14ac:dyDescent="0.2">
      <c r="C262" s="21">
        <v>43502</v>
      </c>
      <c r="D262">
        <v>106.03</v>
      </c>
      <c r="E262">
        <v>2731.61</v>
      </c>
      <c r="F262">
        <v>20609.8</v>
      </c>
      <c r="I262" s="95">
        <f t="shared" ref="I262:I325" si="9">D262/D261-1</f>
        <v>-1.1098675620220044E-2</v>
      </c>
      <c r="J262" s="95">
        <f t="shared" si="8"/>
        <v>-2.224495014062744E-3</v>
      </c>
      <c r="K262" s="37"/>
    </row>
    <row r="263" spans="3:11" x14ac:dyDescent="0.2">
      <c r="C263" s="21">
        <v>43503</v>
      </c>
      <c r="D263">
        <v>105.27</v>
      </c>
      <c r="E263">
        <v>2706.05</v>
      </c>
      <c r="F263">
        <v>29760.7</v>
      </c>
      <c r="I263" s="95">
        <f t="shared" si="9"/>
        <v>-7.1677827030086627E-3</v>
      </c>
      <c r="J263" s="95">
        <f t="shared" si="8"/>
        <v>-9.3571190616522637E-3</v>
      </c>
      <c r="K263" s="37"/>
    </row>
    <row r="264" spans="3:11" x14ac:dyDescent="0.2">
      <c r="C264" s="21">
        <v>43504</v>
      </c>
      <c r="D264">
        <v>105.67</v>
      </c>
      <c r="E264">
        <v>2707.88</v>
      </c>
      <c r="F264">
        <v>21461.1</v>
      </c>
      <c r="I264" s="95">
        <f t="shared" si="9"/>
        <v>3.7997530160540638E-3</v>
      </c>
      <c r="J264" s="95">
        <f t="shared" si="8"/>
        <v>6.7626244895691023E-4</v>
      </c>
      <c r="K264" s="37"/>
    </row>
    <row r="265" spans="3:11" x14ac:dyDescent="0.2">
      <c r="C265" s="21">
        <v>43507</v>
      </c>
      <c r="D265">
        <v>105.25</v>
      </c>
      <c r="E265">
        <v>2709.8</v>
      </c>
      <c r="F265">
        <v>18914.099999999999</v>
      </c>
      <c r="I265" s="95">
        <f t="shared" si="9"/>
        <v>-3.9746380240370804E-3</v>
      </c>
      <c r="J265" s="95">
        <f t="shared" si="8"/>
        <v>7.0904175960539995E-4</v>
      </c>
      <c r="K265" s="37"/>
    </row>
    <row r="266" spans="3:11" x14ac:dyDescent="0.2">
      <c r="C266" s="21">
        <v>43508</v>
      </c>
      <c r="D266">
        <v>106.89</v>
      </c>
      <c r="E266">
        <v>2744.73</v>
      </c>
      <c r="F266">
        <v>25056.6</v>
      </c>
      <c r="I266" s="95">
        <f t="shared" si="9"/>
        <v>1.5581947743467994E-2</v>
      </c>
      <c r="J266" s="95">
        <f t="shared" si="8"/>
        <v>1.2890250202966858E-2</v>
      </c>
      <c r="K266" s="37"/>
    </row>
    <row r="267" spans="3:11" x14ac:dyDescent="0.2">
      <c r="C267" s="21">
        <v>43509</v>
      </c>
      <c r="D267">
        <v>106.81</v>
      </c>
      <c r="E267">
        <v>2753.03</v>
      </c>
      <c r="F267">
        <v>18394.900000000001</v>
      </c>
      <c r="I267" s="95">
        <f t="shared" si="9"/>
        <v>-7.4843296847226792E-4</v>
      </c>
      <c r="J267" s="95">
        <f t="shared" si="8"/>
        <v>3.0239768574686909E-3</v>
      </c>
      <c r="K267" s="37"/>
    </row>
    <row r="268" spans="3:11" x14ac:dyDescent="0.2">
      <c r="C268" s="21">
        <v>43510</v>
      </c>
      <c r="D268">
        <v>106.9</v>
      </c>
      <c r="E268">
        <v>2745.73</v>
      </c>
      <c r="F268">
        <v>21784.7</v>
      </c>
      <c r="I268" s="95">
        <f t="shared" si="9"/>
        <v>8.4261773242211291E-4</v>
      </c>
      <c r="J268" s="95">
        <f t="shared" si="8"/>
        <v>-2.6516238471793185E-3</v>
      </c>
      <c r="K268" s="37"/>
    </row>
    <row r="269" spans="3:11" x14ac:dyDescent="0.2">
      <c r="C269" s="21">
        <v>43511</v>
      </c>
      <c r="D269">
        <v>108.22</v>
      </c>
      <c r="E269">
        <v>2775.6</v>
      </c>
      <c r="F269">
        <v>26606.9</v>
      </c>
      <c r="I269" s="95">
        <f t="shared" si="9"/>
        <v>1.2347988774555674E-2</v>
      </c>
      <c r="J269" s="95">
        <f t="shared" si="8"/>
        <v>1.0878709851296353E-2</v>
      </c>
      <c r="K269" s="37"/>
    </row>
    <row r="270" spans="3:11" x14ac:dyDescent="0.2">
      <c r="C270" s="21">
        <v>43514</v>
      </c>
      <c r="D270">
        <v>108.22</v>
      </c>
      <c r="E270">
        <v>2775.6</v>
      </c>
      <c r="F270" t="e">
        <v>#N/A</v>
      </c>
      <c r="I270" s="95">
        <f t="shared" si="9"/>
        <v>0</v>
      </c>
      <c r="J270" s="95">
        <f t="shared" si="8"/>
        <v>0</v>
      </c>
      <c r="K270" s="37"/>
    </row>
    <row r="271" spans="3:11" x14ac:dyDescent="0.2">
      <c r="C271" s="21">
        <v>43515</v>
      </c>
      <c r="D271">
        <v>108.17</v>
      </c>
      <c r="E271">
        <v>2779.76</v>
      </c>
      <c r="F271">
        <v>18038.5</v>
      </c>
      <c r="I271" s="95">
        <f t="shared" si="9"/>
        <v>-4.6202180742926924E-4</v>
      </c>
      <c r="J271" s="95">
        <f t="shared" si="8"/>
        <v>1.4987750396311394E-3</v>
      </c>
      <c r="K271" s="37"/>
    </row>
    <row r="272" spans="3:11" x14ac:dyDescent="0.2">
      <c r="C272" s="21">
        <v>43516</v>
      </c>
      <c r="D272">
        <v>107.15</v>
      </c>
      <c r="E272">
        <v>2784.7</v>
      </c>
      <c r="F272">
        <v>21607.7</v>
      </c>
      <c r="I272" s="95">
        <f t="shared" si="9"/>
        <v>-9.4296015531107891E-3</v>
      </c>
      <c r="J272" s="95">
        <f t="shared" si="8"/>
        <v>1.7771318387196366E-3</v>
      </c>
      <c r="K272" s="37"/>
    </row>
    <row r="273" spans="3:11" x14ac:dyDescent="0.2">
      <c r="C273" s="21">
        <v>43517</v>
      </c>
      <c r="D273">
        <v>109.41</v>
      </c>
      <c r="E273">
        <v>2774.88</v>
      </c>
      <c r="F273">
        <v>29063.200000000001</v>
      </c>
      <c r="I273" s="95">
        <f t="shared" si="9"/>
        <v>2.1091927204852867E-2</v>
      </c>
      <c r="J273" s="95">
        <f t="shared" si="8"/>
        <v>-3.526412180845262E-3</v>
      </c>
      <c r="K273" s="37"/>
    </row>
    <row r="274" spans="3:11" x14ac:dyDescent="0.2">
      <c r="C274" s="21">
        <v>43518</v>
      </c>
      <c r="D274">
        <v>110.97</v>
      </c>
      <c r="E274">
        <v>2792.67</v>
      </c>
      <c r="F274">
        <v>27763.200000000001</v>
      </c>
      <c r="I274" s="95">
        <f t="shared" si="9"/>
        <v>1.4258294488620704E-2</v>
      </c>
      <c r="J274" s="95">
        <f t="shared" si="8"/>
        <v>6.4110880470507059E-3</v>
      </c>
      <c r="K274" s="37"/>
    </row>
    <row r="275" spans="3:11" x14ac:dyDescent="0.2">
      <c r="C275" s="21">
        <v>43521</v>
      </c>
      <c r="D275">
        <v>111.59</v>
      </c>
      <c r="E275">
        <v>2796.11</v>
      </c>
      <c r="F275">
        <v>23750.6</v>
      </c>
      <c r="I275" s="95">
        <f t="shared" si="9"/>
        <v>5.5870956114265624E-3</v>
      </c>
      <c r="J275" s="95">
        <f t="shared" si="8"/>
        <v>1.2317960947767492E-3</v>
      </c>
      <c r="K275" s="37"/>
    </row>
    <row r="276" spans="3:11" x14ac:dyDescent="0.2">
      <c r="C276" s="21">
        <v>43522</v>
      </c>
      <c r="D276">
        <v>112.36</v>
      </c>
      <c r="E276">
        <v>2793.9</v>
      </c>
      <c r="F276">
        <v>21536.7</v>
      </c>
      <c r="I276" s="95">
        <f t="shared" si="9"/>
        <v>6.9002598799174919E-3</v>
      </c>
      <c r="J276" s="95">
        <f t="shared" si="8"/>
        <v>-7.9038378318452285E-4</v>
      </c>
      <c r="K276" s="37"/>
    </row>
    <row r="277" spans="3:11" x14ac:dyDescent="0.2">
      <c r="C277" s="21">
        <v>43523</v>
      </c>
      <c r="D277">
        <v>112.17</v>
      </c>
      <c r="E277">
        <v>2792.38</v>
      </c>
      <c r="F277">
        <v>21487.1</v>
      </c>
      <c r="I277" s="95">
        <f t="shared" si="9"/>
        <v>-1.6909932360270608E-3</v>
      </c>
      <c r="J277" s="95">
        <f t="shared" si="8"/>
        <v>-5.4404237803784561E-4</v>
      </c>
      <c r="K277" s="37"/>
    </row>
    <row r="278" spans="3:11" x14ac:dyDescent="0.2">
      <c r="C278" s="21">
        <v>43524</v>
      </c>
      <c r="D278">
        <v>112.03</v>
      </c>
      <c r="E278">
        <v>2784.49</v>
      </c>
      <c r="F278">
        <v>29083.9</v>
      </c>
      <c r="I278" s="95">
        <f t="shared" si="9"/>
        <v>-1.2481055540697339E-3</v>
      </c>
      <c r="J278" s="95">
        <f t="shared" si="8"/>
        <v>-2.8255466662847617E-3</v>
      </c>
      <c r="K278" s="37"/>
    </row>
    <row r="279" spans="3:11" x14ac:dyDescent="0.2">
      <c r="C279" s="21">
        <v>43525</v>
      </c>
      <c r="D279">
        <v>112.53</v>
      </c>
      <c r="E279">
        <v>2803.69</v>
      </c>
      <c r="F279">
        <v>23501.200000000001</v>
      </c>
      <c r="I279" s="95">
        <f t="shared" si="9"/>
        <v>4.4630902436846309E-3</v>
      </c>
      <c r="J279" s="95">
        <f t="shared" si="8"/>
        <v>6.8953381050032014E-3</v>
      </c>
      <c r="K279" s="37"/>
    </row>
    <row r="280" spans="3:11" x14ac:dyDescent="0.2">
      <c r="C280" s="21">
        <v>43528</v>
      </c>
      <c r="D280">
        <v>112.26</v>
      </c>
      <c r="E280">
        <v>2792.81</v>
      </c>
      <c r="F280">
        <v>26608</v>
      </c>
      <c r="I280" s="95">
        <f t="shared" si="9"/>
        <v>-2.3993601706211454E-3</v>
      </c>
      <c r="J280" s="95">
        <f t="shared" si="8"/>
        <v>-3.8806002090102654E-3</v>
      </c>
      <c r="K280" s="37"/>
    </row>
    <row r="281" spans="3:11" x14ac:dyDescent="0.2">
      <c r="C281" s="21">
        <v>43529</v>
      </c>
      <c r="D281">
        <v>111.7</v>
      </c>
      <c r="E281">
        <v>2789.65</v>
      </c>
      <c r="F281">
        <v>19538.3</v>
      </c>
      <c r="I281" s="95">
        <f t="shared" si="9"/>
        <v>-4.9884197398896157E-3</v>
      </c>
      <c r="J281" s="95">
        <f t="shared" si="8"/>
        <v>-1.1314768996100177E-3</v>
      </c>
      <c r="K281" s="37"/>
    </row>
    <row r="282" spans="3:11" x14ac:dyDescent="0.2">
      <c r="C282" s="21">
        <v>43530</v>
      </c>
      <c r="D282">
        <v>111.75</v>
      </c>
      <c r="E282">
        <v>2771.45</v>
      </c>
      <c r="F282">
        <v>17687</v>
      </c>
      <c r="I282" s="95">
        <f t="shared" si="9"/>
        <v>4.4762757385852225E-4</v>
      </c>
      <c r="J282" s="95">
        <f t="shared" si="8"/>
        <v>-6.5241159285216455E-3</v>
      </c>
      <c r="K282" s="37"/>
    </row>
    <row r="283" spans="3:11" x14ac:dyDescent="0.2">
      <c r="C283" s="21">
        <v>43531</v>
      </c>
      <c r="D283">
        <v>110.39</v>
      </c>
      <c r="E283">
        <v>2748.93</v>
      </c>
      <c r="F283">
        <v>25339</v>
      </c>
      <c r="I283" s="95">
        <f t="shared" si="9"/>
        <v>-1.2170022371364664E-2</v>
      </c>
      <c r="J283" s="95">
        <f t="shared" si="8"/>
        <v>-8.1257103682187415E-3</v>
      </c>
      <c r="K283" s="37"/>
    </row>
    <row r="284" spans="3:11" x14ac:dyDescent="0.2">
      <c r="C284" s="21">
        <v>43532</v>
      </c>
      <c r="D284">
        <v>110.51</v>
      </c>
      <c r="E284">
        <v>2743.07</v>
      </c>
      <c r="F284">
        <v>22818.400000000001</v>
      </c>
      <c r="I284" s="95">
        <f t="shared" si="9"/>
        <v>1.0870549868648993E-3</v>
      </c>
      <c r="J284" s="95">
        <f t="shared" si="8"/>
        <v>-2.1317385309919112E-3</v>
      </c>
      <c r="K284" s="37"/>
    </row>
    <row r="285" spans="3:11" x14ac:dyDescent="0.2">
      <c r="C285" s="21">
        <v>43535</v>
      </c>
      <c r="D285">
        <v>112.83</v>
      </c>
      <c r="E285">
        <v>2783.3</v>
      </c>
      <c r="F285">
        <v>26491.599999999999</v>
      </c>
      <c r="I285" s="95">
        <f t="shared" si="9"/>
        <v>2.0993575242059581E-2</v>
      </c>
      <c r="J285" s="95">
        <f t="shared" si="8"/>
        <v>1.4666049353461608E-2</v>
      </c>
      <c r="K285" s="37"/>
    </row>
    <row r="286" spans="3:11" x14ac:dyDescent="0.2">
      <c r="C286" s="21">
        <v>43536</v>
      </c>
      <c r="D286">
        <v>113.62</v>
      </c>
      <c r="E286">
        <v>2791.52</v>
      </c>
      <c r="F286">
        <v>26132.7</v>
      </c>
      <c r="I286" s="95">
        <f t="shared" si="9"/>
        <v>7.0016839493043381E-3</v>
      </c>
      <c r="J286" s="95">
        <f t="shared" si="8"/>
        <v>2.9533287823806376E-3</v>
      </c>
      <c r="K286" s="37"/>
    </row>
    <row r="287" spans="3:11" x14ac:dyDescent="0.2">
      <c r="C287" s="21">
        <v>43537</v>
      </c>
      <c r="D287">
        <v>114.5</v>
      </c>
      <c r="E287">
        <v>2810.92</v>
      </c>
      <c r="F287">
        <v>35513.800000000003</v>
      </c>
      <c r="I287" s="95">
        <f t="shared" si="9"/>
        <v>7.7451152966026005E-3</v>
      </c>
      <c r="J287" s="95">
        <f t="shared" si="8"/>
        <v>6.9496188456468211E-3</v>
      </c>
      <c r="K287" s="37"/>
    </row>
    <row r="288" spans="3:11" x14ac:dyDescent="0.2">
      <c r="C288" s="21">
        <v>43538</v>
      </c>
      <c r="D288">
        <v>114.59</v>
      </c>
      <c r="E288">
        <v>2808.48</v>
      </c>
      <c r="F288">
        <v>30763.4</v>
      </c>
      <c r="I288" s="95">
        <f t="shared" si="9"/>
        <v>7.8602620087342423E-4</v>
      </c>
      <c r="J288" s="95">
        <f t="shared" si="8"/>
        <v>-8.6804320293709658E-4</v>
      </c>
      <c r="K288" s="37"/>
    </row>
    <row r="289" spans="3:11" x14ac:dyDescent="0.2">
      <c r="C289" s="21">
        <v>43539</v>
      </c>
      <c r="D289">
        <v>115.91</v>
      </c>
      <c r="E289">
        <v>2822.48</v>
      </c>
      <c r="F289">
        <v>54630.7</v>
      </c>
      <c r="I289" s="95">
        <f t="shared" si="9"/>
        <v>1.1519329784448917E-2</v>
      </c>
      <c r="J289" s="95">
        <f t="shared" si="8"/>
        <v>4.9849028656070438E-3</v>
      </c>
      <c r="K289" s="37"/>
    </row>
    <row r="290" spans="3:11" x14ac:dyDescent="0.2">
      <c r="C290" s="21">
        <v>43542</v>
      </c>
      <c r="D290">
        <v>117.57</v>
      </c>
      <c r="E290">
        <v>2832.94</v>
      </c>
      <c r="F290">
        <v>31207.599999999999</v>
      </c>
      <c r="I290" s="95">
        <f t="shared" si="9"/>
        <v>1.4321456302303526E-2</v>
      </c>
      <c r="J290" s="95">
        <f t="shared" si="8"/>
        <v>3.7059607153993035E-3</v>
      </c>
      <c r="K290" s="37"/>
    </row>
    <row r="291" spans="3:11" x14ac:dyDescent="0.2">
      <c r="C291" s="21">
        <v>43543</v>
      </c>
      <c r="D291">
        <v>117.65</v>
      </c>
      <c r="E291">
        <v>2832.57</v>
      </c>
      <c r="F291">
        <v>37588.699999999997</v>
      </c>
      <c r="I291" s="95">
        <f t="shared" si="9"/>
        <v>6.8044569192826643E-4</v>
      </c>
      <c r="J291" s="95">
        <f t="shared" si="8"/>
        <v>-1.3060636653083879E-4</v>
      </c>
      <c r="K291" s="37"/>
    </row>
    <row r="292" spans="3:11" x14ac:dyDescent="0.2">
      <c r="C292" s="21">
        <v>43544</v>
      </c>
      <c r="D292">
        <v>117.52</v>
      </c>
      <c r="E292">
        <v>2824.23</v>
      </c>
      <c r="F292">
        <v>28113.3</v>
      </c>
      <c r="I292" s="95">
        <f t="shared" si="9"/>
        <v>-1.1049723756907381E-3</v>
      </c>
      <c r="J292" s="95">
        <f t="shared" si="8"/>
        <v>-2.9443226469249018E-3</v>
      </c>
      <c r="K292" s="37"/>
    </row>
    <row r="293" spans="3:11" x14ac:dyDescent="0.2">
      <c r="C293" s="21">
        <v>43545</v>
      </c>
      <c r="D293">
        <v>120.22</v>
      </c>
      <c r="E293">
        <v>2854.88</v>
      </c>
      <c r="F293">
        <v>29854.400000000001</v>
      </c>
      <c r="I293" s="95">
        <f t="shared" si="9"/>
        <v>2.2974812797821764E-2</v>
      </c>
      <c r="J293" s="95">
        <f t="shared" si="8"/>
        <v>1.0852515552911779E-2</v>
      </c>
      <c r="K293" s="37"/>
    </row>
    <row r="294" spans="3:11" x14ac:dyDescent="0.2">
      <c r="C294" s="21">
        <v>43546</v>
      </c>
      <c r="D294">
        <v>117.05</v>
      </c>
      <c r="E294">
        <v>2800.71</v>
      </c>
      <c r="F294">
        <v>33624.5</v>
      </c>
      <c r="I294" s="95">
        <f t="shared" si="9"/>
        <v>-2.6368324737980342E-2</v>
      </c>
      <c r="J294" s="95">
        <f t="shared" si="8"/>
        <v>-1.8974527826038257E-2</v>
      </c>
      <c r="K294" s="37"/>
    </row>
    <row r="295" spans="3:11" x14ac:dyDescent="0.2">
      <c r="C295" s="21">
        <v>43549</v>
      </c>
      <c r="D295">
        <v>117.66</v>
      </c>
      <c r="E295">
        <v>2798.36</v>
      </c>
      <c r="F295">
        <v>27067.1</v>
      </c>
      <c r="I295" s="95">
        <f t="shared" si="9"/>
        <v>5.211448099103011E-3</v>
      </c>
      <c r="J295" s="95">
        <f t="shared" si="8"/>
        <v>-8.3907294935925414E-4</v>
      </c>
      <c r="K295" s="37"/>
    </row>
    <row r="296" spans="3:11" x14ac:dyDescent="0.2">
      <c r="C296" s="21">
        <v>43550</v>
      </c>
      <c r="D296">
        <v>117.91</v>
      </c>
      <c r="E296">
        <v>2818.46</v>
      </c>
      <c r="F296">
        <v>26097.7</v>
      </c>
      <c r="I296" s="95">
        <f t="shared" si="9"/>
        <v>2.1247662757095664E-3</v>
      </c>
      <c r="J296" s="95">
        <f t="shared" si="8"/>
        <v>7.1827784845408527E-3</v>
      </c>
      <c r="K296" s="37"/>
    </row>
    <row r="297" spans="3:11" x14ac:dyDescent="0.2">
      <c r="C297" s="21">
        <v>43551</v>
      </c>
      <c r="D297">
        <v>116.77</v>
      </c>
      <c r="E297">
        <v>2805.37</v>
      </c>
      <c r="F297">
        <v>22733.4</v>
      </c>
      <c r="I297" s="95">
        <f t="shared" si="9"/>
        <v>-9.6683911457892124E-3</v>
      </c>
      <c r="J297" s="95">
        <f t="shared" si="8"/>
        <v>-4.6443802643997278E-3</v>
      </c>
      <c r="K297" s="37"/>
    </row>
    <row r="298" spans="3:11" x14ac:dyDescent="0.2">
      <c r="C298" s="21">
        <v>43552</v>
      </c>
      <c r="D298">
        <v>116.93</v>
      </c>
      <c r="E298">
        <v>2815.44</v>
      </c>
      <c r="F298">
        <v>18334.8</v>
      </c>
      <c r="I298" s="95">
        <f t="shared" si="9"/>
        <v>1.3702149524708052E-3</v>
      </c>
      <c r="J298" s="95">
        <f t="shared" si="8"/>
        <v>3.5895443381801506E-3</v>
      </c>
      <c r="K298" s="37"/>
    </row>
    <row r="299" spans="3:11" x14ac:dyDescent="0.2">
      <c r="C299" s="21">
        <v>43553</v>
      </c>
      <c r="D299">
        <v>117.94</v>
      </c>
      <c r="E299">
        <v>2834.4</v>
      </c>
      <c r="F299">
        <v>25399.8</v>
      </c>
      <c r="I299" s="95">
        <f t="shared" si="9"/>
        <v>8.6376464551440879E-3</v>
      </c>
      <c r="J299" s="95">
        <f t="shared" si="8"/>
        <v>6.7342937515983969E-3</v>
      </c>
      <c r="K299" s="37"/>
    </row>
    <row r="300" spans="3:11" x14ac:dyDescent="0.2">
      <c r="C300" s="21">
        <v>43556</v>
      </c>
      <c r="D300">
        <v>119.02</v>
      </c>
      <c r="E300">
        <v>2867.19</v>
      </c>
      <c r="F300">
        <v>22789.1</v>
      </c>
      <c r="I300" s="95">
        <f t="shared" si="9"/>
        <v>9.1571985755469765E-3</v>
      </c>
      <c r="J300" s="95">
        <f t="shared" si="8"/>
        <v>1.1568585944115251E-2</v>
      </c>
      <c r="K300" s="37"/>
    </row>
    <row r="301" spans="3:11" x14ac:dyDescent="0.2">
      <c r="C301" s="21">
        <v>43557</v>
      </c>
      <c r="D301">
        <v>119.19</v>
      </c>
      <c r="E301">
        <v>2867.24</v>
      </c>
      <c r="F301">
        <v>18142.3</v>
      </c>
      <c r="I301" s="95">
        <f t="shared" si="9"/>
        <v>1.4283313728784552E-3</v>
      </c>
      <c r="J301" s="95">
        <f t="shared" si="8"/>
        <v>1.7438676892522764E-5</v>
      </c>
      <c r="K301" s="37"/>
    </row>
    <row r="302" spans="3:11" x14ac:dyDescent="0.2">
      <c r="C302" s="21">
        <v>43558</v>
      </c>
      <c r="D302">
        <v>119.97</v>
      </c>
      <c r="E302">
        <v>2873.4</v>
      </c>
      <c r="F302">
        <v>22860.7</v>
      </c>
      <c r="I302" s="95">
        <f t="shared" si="9"/>
        <v>6.5441731688899996E-3</v>
      </c>
      <c r="J302" s="95">
        <f t="shared" si="8"/>
        <v>2.1484075277968806E-3</v>
      </c>
      <c r="K302" s="37"/>
    </row>
    <row r="303" spans="3:11" x14ac:dyDescent="0.2">
      <c r="C303" s="21">
        <v>43559</v>
      </c>
      <c r="D303">
        <v>119.36</v>
      </c>
      <c r="E303">
        <v>2879.39</v>
      </c>
      <c r="F303">
        <v>20112.8</v>
      </c>
      <c r="I303" s="95">
        <f t="shared" si="9"/>
        <v>-5.0846044844544691E-3</v>
      </c>
      <c r="J303" s="95">
        <f t="shared" si="8"/>
        <v>2.0846384074615365E-3</v>
      </c>
      <c r="K303" s="37"/>
    </row>
    <row r="304" spans="3:11" x14ac:dyDescent="0.2">
      <c r="C304" s="21">
        <v>43560</v>
      </c>
      <c r="D304">
        <v>119.89</v>
      </c>
      <c r="E304">
        <v>2892.74</v>
      </c>
      <c r="F304">
        <v>15826.2</v>
      </c>
      <c r="I304" s="95">
        <f t="shared" si="9"/>
        <v>4.440348525469151E-3</v>
      </c>
      <c r="J304" s="95">
        <f t="shared" si="8"/>
        <v>4.6363986816650993E-3</v>
      </c>
      <c r="K304" s="37"/>
    </row>
    <row r="305" spans="3:11" x14ac:dyDescent="0.2">
      <c r="C305" s="21">
        <v>43563</v>
      </c>
      <c r="D305">
        <v>119.93</v>
      </c>
      <c r="E305">
        <v>2895.77</v>
      </c>
      <c r="F305">
        <v>15116.2</v>
      </c>
      <c r="I305" s="95">
        <f t="shared" si="9"/>
        <v>3.3363916923856429E-4</v>
      </c>
      <c r="J305" s="95">
        <f t="shared" si="8"/>
        <v>1.0474498226595852E-3</v>
      </c>
      <c r="K305" s="37"/>
    </row>
    <row r="306" spans="3:11" x14ac:dyDescent="0.2">
      <c r="C306" s="21">
        <v>43564</v>
      </c>
      <c r="D306">
        <v>119.28</v>
      </c>
      <c r="E306">
        <v>2878.2</v>
      </c>
      <c r="F306">
        <v>17612</v>
      </c>
      <c r="I306" s="95">
        <f t="shared" si="9"/>
        <v>-5.4198282331360259E-3</v>
      </c>
      <c r="J306" s="95">
        <f t="shared" si="8"/>
        <v>-6.0674708281390766E-3</v>
      </c>
      <c r="K306" s="37"/>
    </row>
    <row r="307" spans="3:11" x14ac:dyDescent="0.2">
      <c r="C307" s="21">
        <v>43565</v>
      </c>
      <c r="D307">
        <v>120.19</v>
      </c>
      <c r="E307">
        <v>2888.21</v>
      </c>
      <c r="F307">
        <v>16477.2</v>
      </c>
      <c r="I307" s="95">
        <f t="shared" si="9"/>
        <v>7.6291079812207396E-3</v>
      </c>
      <c r="J307" s="95">
        <f t="shared" si="8"/>
        <v>3.4778681120144483E-3</v>
      </c>
      <c r="K307" s="37"/>
    </row>
    <row r="308" spans="3:11" x14ac:dyDescent="0.2">
      <c r="C308" s="21">
        <v>43566</v>
      </c>
      <c r="D308">
        <v>120.33</v>
      </c>
      <c r="E308">
        <v>2888.32</v>
      </c>
      <c r="F308">
        <v>14209.1</v>
      </c>
      <c r="I308" s="95">
        <f t="shared" si="9"/>
        <v>1.1648223645894795E-3</v>
      </c>
      <c r="J308" s="95">
        <f t="shared" si="8"/>
        <v>3.808587325715429E-5</v>
      </c>
      <c r="K308" s="37"/>
    </row>
    <row r="309" spans="3:11" x14ac:dyDescent="0.2">
      <c r="C309" s="21">
        <v>43567</v>
      </c>
      <c r="D309">
        <v>120.95</v>
      </c>
      <c r="E309">
        <v>2907.41</v>
      </c>
      <c r="F309">
        <v>19745.099999999999</v>
      </c>
      <c r="I309" s="95">
        <f t="shared" si="9"/>
        <v>5.152497299094172E-3</v>
      </c>
      <c r="J309" s="95">
        <f t="shared" si="8"/>
        <v>6.6093784622200946E-3</v>
      </c>
      <c r="K309" s="37"/>
    </row>
    <row r="310" spans="3:11" x14ac:dyDescent="0.2">
      <c r="C310" s="21">
        <v>43570</v>
      </c>
      <c r="D310">
        <v>121.05</v>
      </c>
      <c r="E310">
        <v>2905.58</v>
      </c>
      <c r="F310">
        <v>15792.6</v>
      </c>
      <c r="I310" s="95">
        <f t="shared" si="9"/>
        <v>8.2678792889612218E-4</v>
      </c>
      <c r="J310" s="95">
        <f t="shared" si="8"/>
        <v>-6.2942619032058111E-4</v>
      </c>
      <c r="K310" s="37"/>
    </row>
    <row r="311" spans="3:11" x14ac:dyDescent="0.2">
      <c r="C311" s="21">
        <v>43571</v>
      </c>
      <c r="D311">
        <v>120.77</v>
      </c>
      <c r="E311">
        <v>2907.06</v>
      </c>
      <c r="F311">
        <v>14071.8</v>
      </c>
      <c r="I311" s="95">
        <f t="shared" si="9"/>
        <v>-2.3130937629078918E-3</v>
      </c>
      <c r="J311" s="95">
        <f t="shared" si="8"/>
        <v>5.0936473956997297E-4</v>
      </c>
      <c r="K311" s="37"/>
    </row>
    <row r="312" spans="3:11" x14ac:dyDescent="0.2">
      <c r="C312" s="21">
        <v>43572</v>
      </c>
      <c r="D312">
        <v>121.77</v>
      </c>
      <c r="E312">
        <v>2900.45</v>
      </c>
      <c r="F312">
        <v>19300.900000000001</v>
      </c>
      <c r="I312" s="95">
        <f t="shared" si="9"/>
        <v>8.2802020369296958E-3</v>
      </c>
      <c r="J312" s="95">
        <f t="shared" si="8"/>
        <v>-2.2737748790875312E-3</v>
      </c>
      <c r="K312" s="37"/>
    </row>
    <row r="313" spans="3:11" x14ac:dyDescent="0.2">
      <c r="C313" s="21">
        <v>43573</v>
      </c>
      <c r="D313">
        <v>123.37</v>
      </c>
      <c r="E313">
        <v>2905.03</v>
      </c>
      <c r="F313">
        <v>27991</v>
      </c>
      <c r="I313" s="95">
        <f t="shared" si="9"/>
        <v>1.3139525334647351E-2</v>
      </c>
      <c r="J313" s="95">
        <f t="shared" si="8"/>
        <v>1.5790653174507785E-3</v>
      </c>
      <c r="K313" s="37"/>
    </row>
    <row r="314" spans="3:11" x14ac:dyDescent="0.2">
      <c r="C314" s="21">
        <v>43574</v>
      </c>
      <c r="D314">
        <v>123.37</v>
      </c>
      <c r="E314">
        <v>2905.03</v>
      </c>
      <c r="F314" t="e">
        <v>#N/A</v>
      </c>
      <c r="I314" s="95">
        <f t="shared" si="9"/>
        <v>0</v>
      </c>
      <c r="J314" s="95">
        <f t="shared" si="8"/>
        <v>0</v>
      </c>
      <c r="K314" s="37"/>
    </row>
    <row r="315" spans="3:11" x14ac:dyDescent="0.2">
      <c r="C315" s="21">
        <v>43577</v>
      </c>
      <c r="D315">
        <v>123.76</v>
      </c>
      <c r="E315">
        <v>2907.97</v>
      </c>
      <c r="F315">
        <v>15648.7</v>
      </c>
      <c r="I315" s="95">
        <f t="shared" si="9"/>
        <v>3.1612223393044925E-3</v>
      </c>
      <c r="J315" s="95">
        <f t="shared" si="8"/>
        <v>1.0120377414346571E-3</v>
      </c>
      <c r="K315" s="37"/>
    </row>
    <row r="316" spans="3:11" x14ac:dyDescent="0.2">
      <c r="C316" s="21">
        <v>43578</v>
      </c>
      <c r="D316">
        <v>125.44</v>
      </c>
      <c r="E316">
        <v>2933.68</v>
      </c>
      <c r="F316">
        <v>24025.5</v>
      </c>
      <c r="I316" s="95">
        <f t="shared" si="9"/>
        <v>1.3574660633484115E-2</v>
      </c>
      <c r="J316" s="95">
        <f t="shared" si="8"/>
        <v>8.8412191322468914E-3</v>
      </c>
      <c r="K316" s="37"/>
    </row>
    <row r="317" spans="3:11" x14ac:dyDescent="0.2">
      <c r="C317" s="21">
        <v>43579</v>
      </c>
      <c r="D317">
        <v>125.01</v>
      </c>
      <c r="E317">
        <v>2927.25</v>
      </c>
      <c r="F317">
        <v>31257</v>
      </c>
      <c r="I317" s="95">
        <f t="shared" si="9"/>
        <v>-3.4279336734692745E-3</v>
      </c>
      <c r="J317" s="95">
        <f t="shared" si="8"/>
        <v>-2.1917864252406494E-3</v>
      </c>
      <c r="K317" s="37"/>
    </row>
    <row r="318" spans="3:11" x14ac:dyDescent="0.2">
      <c r="C318" s="21">
        <v>43580</v>
      </c>
      <c r="D318">
        <v>129.15</v>
      </c>
      <c r="E318">
        <v>2926.17</v>
      </c>
      <c r="F318">
        <v>38033.9</v>
      </c>
      <c r="I318" s="95">
        <f t="shared" si="9"/>
        <v>3.3117350611951091E-2</v>
      </c>
      <c r="J318" s="95">
        <f t="shared" si="8"/>
        <v>-3.6894696387390624E-4</v>
      </c>
      <c r="K318" s="37"/>
    </row>
    <row r="319" spans="3:11" x14ac:dyDescent="0.2">
      <c r="C319" s="21">
        <v>43581</v>
      </c>
      <c r="D319">
        <v>129.88999999999999</v>
      </c>
      <c r="E319">
        <v>2939.88</v>
      </c>
      <c r="F319">
        <v>23654.9</v>
      </c>
      <c r="I319" s="95">
        <f t="shared" si="9"/>
        <v>5.7297715834299101E-3</v>
      </c>
      <c r="J319" s="95">
        <f t="shared" si="8"/>
        <v>4.6853053650335319E-3</v>
      </c>
      <c r="K319" s="37"/>
    </row>
    <row r="320" spans="3:11" x14ac:dyDescent="0.2">
      <c r="C320" s="21">
        <v>43584</v>
      </c>
      <c r="D320">
        <v>129.77000000000001</v>
      </c>
      <c r="E320">
        <v>2943.03</v>
      </c>
      <c r="F320">
        <v>16324.2</v>
      </c>
      <c r="I320" s="95">
        <f t="shared" si="9"/>
        <v>-9.2385864962640785E-4</v>
      </c>
      <c r="J320" s="95">
        <f t="shared" si="8"/>
        <v>1.0714723049920494E-3</v>
      </c>
      <c r="K320" s="37"/>
    </row>
    <row r="321" spans="3:11" x14ac:dyDescent="0.2">
      <c r="C321" s="21">
        <v>43585</v>
      </c>
      <c r="D321">
        <v>130.6</v>
      </c>
      <c r="E321">
        <v>2945.83</v>
      </c>
      <c r="F321">
        <v>24166.5</v>
      </c>
      <c r="I321" s="95">
        <f t="shared" si="9"/>
        <v>6.3959312630037513E-3</v>
      </c>
      <c r="J321" s="95">
        <f t="shared" si="8"/>
        <v>9.5140042745045506E-4</v>
      </c>
      <c r="K321" s="37"/>
    </row>
    <row r="322" spans="3:11" x14ac:dyDescent="0.2">
      <c r="C322" s="21">
        <v>43586</v>
      </c>
      <c r="D322">
        <v>127.88</v>
      </c>
      <c r="E322">
        <v>2923.73</v>
      </c>
      <c r="F322">
        <v>26821.7</v>
      </c>
      <c r="I322" s="95">
        <f t="shared" si="9"/>
        <v>-2.0826952526799336E-2</v>
      </c>
      <c r="J322" s="95">
        <f t="shared" si="8"/>
        <v>-7.502130129708795E-3</v>
      </c>
      <c r="K322" s="37"/>
    </row>
    <row r="323" spans="3:11" x14ac:dyDescent="0.2">
      <c r="C323" s="21">
        <v>43587</v>
      </c>
      <c r="D323">
        <v>126.21</v>
      </c>
      <c r="E323">
        <v>2917.52</v>
      </c>
      <c r="F323">
        <v>27350.2</v>
      </c>
      <c r="I323" s="95">
        <f t="shared" si="9"/>
        <v>-1.3059117923052921E-2</v>
      </c>
      <c r="J323" s="95">
        <f t="shared" si="8"/>
        <v>-2.1239991380873624E-3</v>
      </c>
      <c r="K323" s="37"/>
    </row>
    <row r="324" spans="3:11" x14ac:dyDescent="0.2">
      <c r="C324" s="21">
        <v>43588</v>
      </c>
      <c r="D324">
        <v>128.9</v>
      </c>
      <c r="E324">
        <v>2945.64</v>
      </c>
      <c r="F324">
        <v>24911.1</v>
      </c>
      <c r="I324" s="95">
        <f t="shared" si="9"/>
        <v>2.1313683543300987E-2</v>
      </c>
      <c r="J324" s="95">
        <f t="shared" si="8"/>
        <v>9.6383229592256203E-3</v>
      </c>
      <c r="K324" s="37"/>
    </row>
    <row r="325" spans="3:11" x14ac:dyDescent="0.2">
      <c r="C325" s="21">
        <v>43591</v>
      </c>
      <c r="D325">
        <v>128.15</v>
      </c>
      <c r="E325">
        <v>2932.47</v>
      </c>
      <c r="F325">
        <v>24239.5</v>
      </c>
      <c r="I325" s="95">
        <f t="shared" si="9"/>
        <v>-5.8184639255236537E-3</v>
      </c>
      <c r="J325" s="95">
        <f t="shared" ref="J325:J388" si="10">E325/E324-1</f>
        <v>-4.471014787957861E-3</v>
      </c>
      <c r="K325" s="37"/>
    </row>
    <row r="326" spans="3:11" x14ac:dyDescent="0.2">
      <c r="C326" s="21">
        <v>43592</v>
      </c>
      <c r="D326">
        <v>125.52</v>
      </c>
      <c r="E326">
        <v>2884.05</v>
      </c>
      <c r="F326">
        <v>36017.699999999997</v>
      </c>
      <c r="I326" s="95">
        <f t="shared" ref="I326:I389" si="11">D326/D325-1</f>
        <v>-2.0522824814670382E-2</v>
      </c>
      <c r="J326" s="95">
        <f t="shared" si="10"/>
        <v>-1.6511677868827124E-2</v>
      </c>
      <c r="K326" s="37"/>
    </row>
    <row r="327" spans="3:11" x14ac:dyDescent="0.2">
      <c r="C327" s="21">
        <v>43593</v>
      </c>
      <c r="D327">
        <v>125.51</v>
      </c>
      <c r="E327">
        <v>2879.42</v>
      </c>
      <c r="F327">
        <v>28419</v>
      </c>
      <c r="I327" s="95">
        <f t="shared" si="11"/>
        <v>-7.9668578712444038E-5</v>
      </c>
      <c r="J327" s="95">
        <f t="shared" si="10"/>
        <v>-1.6053813214057522E-3</v>
      </c>
      <c r="K327" s="37"/>
    </row>
    <row r="328" spans="3:11" x14ac:dyDescent="0.2">
      <c r="C328" s="21">
        <v>43594</v>
      </c>
      <c r="D328">
        <v>125.5</v>
      </c>
      <c r="E328">
        <v>2870.72</v>
      </c>
      <c r="F328">
        <v>27235.8</v>
      </c>
      <c r="I328" s="95">
        <f t="shared" si="11"/>
        <v>-7.9674926300787874E-5</v>
      </c>
      <c r="J328" s="95">
        <f t="shared" si="10"/>
        <v>-3.0214418181440106E-3</v>
      </c>
      <c r="K328" s="37"/>
    </row>
    <row r="329" spans="3:11" x14ac:dyDescent="0.2">
      <c r="C329" s="21">
        <v>43595</v>
      </c>
      <c r="D329">
        <v>127.13</v>
      </c>
      <c r="E329">
        <v>2881.4</v>
      </c>
      <c r="F329">
        <v>30915.1</v>
      </c>
      <c r="I329" s="95">
        <f t="shared" si="11"/>
        <v>1.2988047808764946E-2</v>
      </c>
      <c r="J329" s="95">
        <f t="shared" si="10"/>
        <v>3.7203210344445292E-3</v>
      </c>
      <c r="K329" s="37"/>
    </row>
    <row r="330" spans="3:11" x14ac:dyDescent="0.2">
      <c r="C330" s="21">
        <v>43598</v>
      </c>
      <c r="D330">
        <v>123.35</v>
      </c>
      <c r="E330">
        <v>2811.87</v>
      </c>
      <c r="F330">
        <v>33944.9</v>
      </c>
      <c r="I330" s="95">
        <f t="shared" si="11"/>
        <v>-2.9733343821285341E-2</v>
      </c>
      <c r="J330" s="95">
        <f t="shared" si="10"/>
        <v>-2.4130630943291487E-2</v>
      </c>
      <c r="K330" s="37"/>
    </row>
    <row r="331" spans="3:11" x14ac:dyDescent="0.2">
      <c r="C331" s="21">
        <v>43599</v>
      </c>
      <c r="D331">
        <v>124.73</v>
      </c>
      <c r="E331">
        <v>2834.41</v>
      </c>
      <c r="F331">
        <v>25266.3</v>
      </c>
      <c r="I331" s="95">
        <f t="shared" si="11"/>
        <v>1.1187677340899871E-2</v>
      </c>
      <c r="J331" s="95">
        <f t="shared" si="10"/>
        <v>8.016017810211773E-3</v>
      </c>
      <c r="K331" s="37"/>
    </row>
    <row r="332" spans="3:11" x14ac:dyDescent="0.2">
      <c r="C332" s="21">
        <v>43600</v>
      </c>
      <c r="D332">
        <v>126.02</v>
      </c>
      <c r="E332">
        <v>2850.96</v>
      </c>
      <c r="F332">
        <v>24722.7</v>
      </c>
      <c r="I332" s="95">
        <f t="shared" si="11"/>
        <v>1.0342339453218941E-2</v>
      </c>
      <c r="J332" s="95">
        <f t="shared" si="10"/>
        <v>5.8389576666748599E-3</v>
      </c>
      <c r="K332" s="37"/>
    </row>
    <row r="333" spans="3:11" x14ac:dyDescent="0.2">
      <c r="C333" s="21">
        <v>43601</v>
      </c>
      <c r="D333">
        <v>128.93</v>
      </c>
      <c r="E333">
        <v>2876.32</v>
      </c>
      <c r="F333">
        <v>30112.2</v>
      </c>
      <c r="I333" s="95">
        <f t="shared" si="11"/>
        <v>2.3091572766227753E-2</v>
      </c>
      <c r="J333" s="95">
        <f t="shared" si="10"/>
        <v>8.895249319527565E-3</v>
      </c>
      <c r="K333" s="37"/>
    </row>
    <row r="334" spans="3:11" x14ac:dyDescent="0.2">
      <c r="C334" s="21">
        <v>43602</v>
      </c>
      <c r="D334">
        <v>128.07</v>
      </c>
      <c r="E334">
        <v>2859.53</v>
      </c>
      <c r="F334">
        <v>25770.5</v>
      </c>
      <c r="I334" s="95">
        <f t="shared" si="11"/>
        <v>-6.6702862018150899E-3</v>
      </c>
      <c r="J334" s="95">
        <f t="shared" si="10"/>
        <v>-5.8373199087723426E-3</v>
      </c>
      <c r="K334" s="37"/>
    </row>
    <row r="335" spans="3:11" x14ac:dyDescent="0.2">
      <c r="C335" s="21">
        <v>43605</v>
      </c>
      <c r="D335">
        <v>126.22</v>
      </c>
      <c r="E335">
        <v>2840.23</v>
      </c>
      <c r="F335">
        <v>23706.9</v>
      </c>
      <c r="I335" s="95">
        <f t="shared" si="11"/>
        <v>-1.444522526743186E-2</v>
      </c>
      <c r="J335" s="95">
        <f t="shared" si="10"/>
        <v>-6.749360908960611E-3</v>
      </c>
      <c r="K335" s="37"/>
    </row>
    <row r="336" spans="3:11" x14ac:dyDescent="0.2">
      <c r="C336" s="21">
        <v>43606</v>
      </c>
      <c r="D336">
        <v>126.9</v>
      </c>
      <c r="E336">
        <v>2864.36</v>
      </c>
      <c r="F336">
        <v>15293.3</v>
      </c>
      <c r="I336" s="95">
        <f t="shared" si="11"/>
        <v>5.3874187925844197E-3</v>
      </c>
      <c r="J336" s="95">
        <f t="shared" si="10"/>
        <v>8.4957908338409993E-3</v>
      </c>
      <c r="K336" s="37"/>
    </row>
    <row r="337" spans="3:11" x14ac:dyDescent="0.2">
      <c r="C337" s="21">
        <v>43607</v>
      </c>
      <c r="D337">
        <v>127.67</v>
      </c>
      <c r="E337">
        <v>2856.27</v>
      </c>
      <c r="F337">
        <v>15396.5</v>
      </c>
      <c r="I337" s="95">
        <f t="shared" si="11"/>
        <v>6.0677698975570848E-3</v>
      </c>
      <c r="J337" s="95">
        <f t="shared" si="10"/>
        <v>-2.8243656523622152E-3</v>
      </c>
      <c r="K337" s="37"/>
    </row>
    <row r="338" spans="3:11" x14ac:dyDescent="0.2">
      <c r="C338" s="21">
        <v>43608</v>
      </c>
      <c r="D338">
        <v>126.18</v>
      </c>
      <c r="E338">
        <v>2822.24</v>
      </c>
      <c r="F338">
        <v>23603.8</v>
      </c>
      <c r="I338" s="95">
        <f t="shared" si="11"/>
        <v>-1.1670713558392665E-2</v>
      </c>
      <c r="J338" s="95">
        <f t="shared" si="10"/>
        <v>-1.1914139769699683E-2</v>
      </c>
      <c r="K338" s="37"/>
    </row>
    <row r="339" spans="3:11" x14ac:dyDescent="0.2">
      <c r="C339" s="21">
        <v>43609</v>
      </c>
      <c r="D339">
        <v>126.24</v>
      </c>
      <c r="E339">
        <v>2826.06</v>
      </c>
      <c r="F339">
        <v>14123.4</v>
      </c>
      <c r="I339" s="95">
        <f t="shared" si="11"/>
        <v>4.7551117451249958E-4</v>
      </c>
      <c r="J339" s="95">
        <f t="shared" si="10"/>
        <v>1.353534780883292E-3</v>
      </c>
      <c r="K339" s="37"/>
    </row>
    <row r="340" spans="3:11" x14ac:dyDescent="0.2">
      <c r="C340" s="21">
        <v>43612</v>
      </c>
      <c r="D340">
        <v>126.24</v>
      </c>
      <c r="E340">
        <v>2826.06</v>
      </c>
      <c r="F340" t="e">
        <v>#N/A</v>
      </c>
      <c r="I340" s="95">
        <f t="shared" si="11"/>
        <v>0</v>
      </c>
      <c r="J340" s="95">
        <f t="shared" si="10"/>
        <v>0</v>
      </c>
      <c r="K340" s="37"/>
    </row>
    <row r="341" spans="3:11" x14ac:dyDescent="0.2">
      <c r="C341" s="21">
        <v>43613</v>
      </c>
      <c r="D341">
        <v>126.16</v>
      </c>
      <c r="E341">
        <v>2802.39</v>
      </c>
      <c r="F341">
        <v>23128.400000000001</v>
      </c>
      <c r="I341" s="95">
        <f t="shared" si="11"/>
        <v>-6.3371356147023938E-4</v>
      </c>
      <c r="J341" s="95">
        <f t="shared" si="10"/>
        <v>-8.3756183520520278E-3</v>
      </c>
      <c r="K341" s="37"/>
    </row>
    <row r="342" spans="3:11" x14ac:dyDescent="0.2">
      <c r="C342" s="21">
        <v>43614</v>
      </c>
      <c r="D342">
        <v>124.94</v>
      </c>
      <c r="E342">
        <v>2783.02</v>
      </c>
      <c r="F342">
        <v>22763.1</v>
      </c>
      <c r="I342" s="95">
        <f t="shared" si="11"/>
        <v>-9.6702599873176309E-3</v>
      </c>
      <c r="J342" s="95">
        <f t="shared" si="10"/>
        <v>-6.9119572935958384E-3</v>
      </c>
      <c r="K342" s="37"/>
    </row>
    <row r="343" spans="3:11" x14ac:dyDescent="0.2">
      <c r="C343" s="21">
        <v>43615</v>
      </c>
      <c r="D343">
        <v>125.73</v>
      </c>
      <c r="E343">
        <v>2788.86</v>
      </c>
      <c r="F343">
        <v>16829.599999999999</v>
      </c>
      <c r="I343" s="95">
        <f t="shared" si="11"/>
        <v>6.3230350568272975E-3</v>
      </c>
      <c r="J343" s="95">
        <f t="shared" si="10"/>
        <v>2.0984398243635294E-3</v>
      </c>
      <c r="K343" s="37"/>
    </row>
    <row r="344" spans="3:11" x14ac:dyDescent="0.2">
      <c r="C344" s="21">
        <v>43616</v>
      </c>
      <c r="D344">
        <v>123.68</v>
      </c>
      <c r="E344">
        <v>2752.06</v>
      </c>
      <c r="F344">
        <v>26646.799999999999</v>
      </c>
      <c r="I344" s="95">
        <f t="shared" si="11"/>
        <v>-1.630478008430758E-2</v>
      </c>
      <c r="J344" s="95">
        <f t="shared" si="10"/>
        <v>-1.3195355808466647E-2</v>
      </c>
      <c r="K344" s="37"/>
    </row>
    <row r="345" spans="3:11" x14ac:dyDescent="0.2">
      <c r="C345" s="21">
        <v>43619</v>
      </c>
      <c r="D345">
        <v>119.84</v>
      </c>
      <c r="E345">
        <v>2744.45</v>
      </c>
      <c r="F345">
        <v>37983.599999999999</v>
      </c>
      <c r="I345" s="95">
        <f t="shared" si="11"/>
        <v>-3.1047865459249757E-2</v>
      </c>
      <c r="J345" s="95">
        <f t="shared" si="10"/>
        <v>-2.7652013400870645E-3</v>
      </c>
      <c r="K345" s="37"/>
    </row>
    <row r="346" spans="3:11" x14ac:dyDescent="0.2">
      <c r="C346" s="21">
        <v>43620</v>
      </c>
      <c r="D346">
        <v>123.16</v>
      </c>
      <c r="E346">
        <v>2803.27</v>
      </c>
      <c r="F346">
        <v>29382.6</v>
      </c>
      <c r="I346" s="95">
        <f t="shared" si="11"/>
        <v>2.7703604806408544E-2</v>
      </c>
      <c r="J346" s="95">
        <f t="shared" si="10"/>
        <v>2.1432345278653342E-2</v>
      </c>
      <c r="K346" s="37"/>
    </row>
    <row r="347" spans="3:11" x14ac:dyDescent="0.2">
      <c r="C347" s="21">
        <v>43621</v>
      </c>
      <c r="D347">
        <v>125.83</v>
      </c>
      <c r="E347">
        <v>2826.15</v>
      </c>
      <c r="F347">
        <v>24926.1</v>
      </c>
      <c r="I347" s="95">
        <f t="shared" si="11"/>
        <v>2.167911659629751E-2</v>
      </c>
      <c r="J347" s="95">
        <f t="shared" si="10"/>
        <v>8.1618966421357353E-3</v>
      </c>
      <c r="K347" s="37"/>
    </row>
    <row r="348" spans="3:11" x14ac:dyDescent="0.2">
      <c r="C348" s="21">
        <v>43622</v>
      </c>
      <c r="D348">
        <v>127.82</v>
      </c>
      <c r="E348">
        <v>2843.49</v>
      </c>
      <c r="F348">
        <v>21459</v>
      </c>
      <c r="I348" s="95">
        <f t="shared" si="11"/>
        <v>1.5814988476515968E-2</v>
      </c>
      <c r="J348" s="95">
        <f t="shared" si="10"/>
        <v>6.1355554376094634E-3</v>
      </c>
      <c r="K348" s="37"/>
    </row>
    <row r="349" spans="3:11" x14ac:dyDescent="0.2">
      <c r="C349" s="21">
        <v>43623</v>
      </c>
      <c r="D349">
        <v>131.4</v>
      </c>
      <c r="E349">
        <v>2873.34</v>
      </c>
      <c r="F349">
        <v>33885.599999999999</v>
      </c>
      <c r="I349" s="95">
        <f t="shared" si="11"/>
        <v>2.800813644187139E-2</v>
      </c>
      <c r="J349" s="95">
        <f t="shared" si="10"/>
        <v>1.0497663083042452E-2</v>
      </c>
      <c r="K349" s="37"/>
    </row>
    <row r="350" spans="3:11" x14ac:dyDescent="0.2">
      <c r="C350" s="21">
        <v>43626</v>
      </c>
      <c r="D350">
        <v>132.6</v>
      </c>
      <c r="E350">
        <v>2886.73</v>
      </c>
      <c r="F350">
        <v>26477.1</v>
      </c>
      <c r="I350" s="95">
        <f t="shared" si="11"/>
        <v>9.1324200913240894E-3</v>
      </c>
      <c r="J350" s="95">
        <f t="shared" si="10"/>
        <v>4.6600819951694294E-3</v>
      </c>
      <c r="K350" s="37"/>
    </row>
    <row r="351" spans="3:11" x14ac:dyDescent="0.2">
      <c r="C351" s="21">
        <v>43627</v>
      </c>
      <c r="D351">
        <v>132.1</v>
      </c>
      <c r="E351">
        <v>2885.72</v>
      </c>
      <c r="F351">
        <v>23913.7</v>
      </c>
      <c r="I351" s="95">
        <f t="shared" si="11"/>
        <v>-3.7707390648566985E-3</v>
      </c>
      <c r="J351" s="95">
        <f t="shared" si="10"/>
        <v>-3.4987685027698667E-4</v>
      </c>
      <c r="K351" s="37"/>
    </row>
    <row r="352" spans="3:11" x14ac:dyDescent="0.2">
      <c r="C352" s="21">
        <v>43628</v>
      </c>
      <c r="D352">
        <v>131.49</v>
      </c>
      <c r="E352">
        <v>2879.84</v>
      </c>
      <c r="F352">
        <v>17092.5</v>
      </c>
      <c r="I352" s="95">
        <f t="shared" si="11"/>
        <v>-4.6177138531414696E-3</v>
      </c>
      <c r="J352" s="95">
        <f t="shared" si="10"/>
        <v>-2.0376197274856178E-3</v>
      </c>
      <c r="K352" s="37"/>
    </row>
    <row r="353" spans="3:11" x14ac:dyDescent="0.2">
      <c r="C353" s="21">
        <v>43629</v>
      </c>
      <c r="D353">
        <v>132.32</v>
      </c>
      <c r="E353">
        <v>2891.64</v>
      </c>
      <c r="F353">
        <v>17200.8</v>
      </c>
      <c r="I353" s="95">
        <f t="shared" si="11"/>
        <v>6.3122670925543911E-3</v>
      </c>
      <c r="J353" s="95">
        <f t="shared" si="10"/>
        <v>4.097449858325275E-3</v>
      </c>
      <c r="K353" s="37"/>
    </row>
    <row r="354" spans="3:11" x14ac:dyDescent="0.2">
      <c r="C354" s="21">
        <v>43630</v>
      </c>
      <c r="D354">
        <v>132.44999999999999</v>
      </c>
      <c r="E354">
        <v>2886.98</v>
      </c>
      <c r="F354">
        <v>17821.7</v>
      </c>
      <c r="I354" s="95">
        <f t="shared" si="11"/>
        <v>9.8246674727930916E-4</v>
      </c>
      <c r="J354" s="95">
        <f t="shared" si="10"/>
        <v>-1.6115422390061696E-3</v>
      </c>
      <c r="K354" s="37"/>
    </row>
    <row r="355" spans="3:11" x14ac:dyDescent="0.2">
      <c r="C355" s="21">
        <v>43633</v>
      </c>
      <c r="D355">
        <v>132.85</v>
      </c>
      <c r="E355">
        <v>2889.67</v>
      </c>
      <c r="F355">
        <v>14517.8</v>
      </c>
      <c r="I355" s="95">
        <f t="shared" si="11"/>
        <v>3.020007550018855E-3</v>
      </c>
      <c r="J355" s="95">
        <f t="shared" si="10"/>
        <v>9.3176953078999425E-4</v>
      </c>
      <c r="K355" s="37"/>
    </row>
    <row r="356" spans="3:11" x14ac:dyDescent="0.2">
      <c r="C356" s="21">
        <v>43634</v>
      </c>
      <c r="D356">
        <v>135.16</v>
      </c>
      <c r="E356">
        <v>2917.75</v>
      </c>
      <c r="F356">
        <v>25934.5</v>
      </c>
      <c r="I356" s="95">
        <f t="shared" si="11"/>
        <v>1.7388031614602895E-2</v>
      </c>
      <c r="J356" s="95">
        <f t="shared" si="10"/>
        <v>9.7173725719545967E-3</v>
      </c>
      <c r="K356" s="37"/>
    </row>
    <row r="357" spans="3:11" x14ac:dyDescent="0.2">
      <c r="C357" s="21">
        <v>43635</v>
      </c>
      <c r="D357">
        <v>135.69</v>
      </c>
      <c r="E357">
        <v>2926.46</v>
      </c>
      <c r="F357">
        <v>23744.400000000001</v>
      </c>
      <c r="I357" s="95">
        <f t="shared" si="11"/>
        <v>3.9212784847588722E-3</v>
      </c>
      <c r="J357" s="95">
        <f t="shared" si="10"/>
        <v>2.9851769342814638E-3</v>
      </c>
      <c r="K357" s="37"/>
    </row>
    <row r="358" spans="3:11" x14ac:dyDescent="0.2">
      <c r="C358" s="21">
        <v>43636</v>
      </c>
      <c r="D358">
        <v>136.94999999999999</v>
      </c>
      <c r="E358">
        <v>2954.18</v>
      </c>
      <c r="F358">
        <v>33042.6</v>
      </c>
      <c r="I358" s="95">
        <f t="shared" si="11"/>
        <v>9.2858722087110213E-3</v>
      </c>
      <c r="J358" s="95">
        <f t="shared" si="10"/>
        <v>9.4721950752785222E-3</v>
      </c>
      <c r="K358" s="37"/>
    </row>
    <row r="359" spans="3:11" x14ac:dyDescent="0.2">
      <c r="C359" s="21">
        <v>43637</v>
      </c>
      <c r="D359">
        <v>136.97</v>
      </c>
      <c r="E359">
        <v>2950.46</v>
      </c>
      <c r="F359">
        <v>36727.9</v>
      </c>
      <c r="I359" s="95">
        <f t="shared" si="11"/>
        <v>1.4603870025564625E-4</v>
      </c>
      <c r="J359" s="95">
        <f t="shared" si="10"/>
        <v>-1.2592326804730103E-3</v>
      </c>
      <c r="K359" s="37"/>
    </row>
    <row r="360" spans="3:11" x14ac:dyDescent="0.2">
      <c r="C360" s="21">
        <v>43640</v>
      </c>
      <c r="D360">
        <v>137.78</v>
      </c>
      <c r="E360">
        <v>2945.35</v>
      </c>
      <c r="F360">
        <v>20628.8</v>
      </c>
      <c r="I360" s="95">
        <f t="shared" si="11"/>
        <v>5.9137037307439577E-3</v>
      </c>
      <c r="J360" s="95">
        <f t="shared" si="10"/>
        <v>-1.731933325650914E-3</v>
      </c>
      <c r="K360" s="37"/>
    </row>
    <row r="361" spans="3:11" x14ac:dyDescent="0.2">
      <c r="C361" s="21">
        <v>43641</v>
      </c>
      <c r="D361">
        <v>133.43</v>
      </c>
      <c r="E361">
        <v>2917.38</v>
      </c>
      <c r="F361">
        <v>33327.4</v>
      </c>
      <c r="I361" s="95">
        <f t="shared" si="11"/>
        <v>-3.1572071418202841E-2</v>
      </c>
      <c r="J361" s="95">
        <f t="shared" si="10"/>
        <v>-9.4963247152289876E-3</v>
      </c>
      <c r="K361" s="37"/>
    </row>
    <row r="362" spans="3:11" x14ac:dyDescent="0.2">
      <c r="C362" s="21">
        <v>43642</v>
      </c>
      <c r="D362">
        <v>133.93</v>
      </c>
      <c r="E362">
        <v>2913.78</v>
      </c>
      <c r="F362">
        <v>23657.7</v>
      </c>
      <c r="I362" s="95">
        <f t="shared" si="11"/>
        <v>3.7472832196656647E-3</v>
      </c>
      <c r="J362" s="95">
        <f t="shared" si="10"/>
        <v>-1.2339839170762978E-3</v>
      </c>
      <c r="K362" s="37"/>
    </row>
    <row r="363" spans="3:11" x14ac:dyDescent="0.2">
      <c r="C363" s="21">
        <v>43643</v>
      </c>
      <c r="D363">
        <v>134.15</v>
      </c>
      <c r="E363">
        <v>2924.92</v>
      </c>
      <c r="F363">
        <v>16557.5</v>
      </c>
      <c r="I363" s="95">
        <f t="shared" si="11"/>
        <v>1.6426491450758363E-3</v>
      </c>
      <c r="J363" s="95">
        <f t="shared" si="10"/>
        <v>3.8232124594168582E-3</v>
      </c>
      <c r="K363" s="37"/>
    </row>
    <row r="364" spans="3:11" x14ac:dyDescent="0.2">
      <c r="C364" s="21">
        <v>43644</v>
      </c>
      <c r="D364">
        <v>133.96</v>
      </c>
      <c r="E364">
        <v>2941.76</v>
      </c>
      <c r="F364">
        <v>30043</v>
      </c>
      <c r="I364" s="95">
        <f t="shared" si="11"/>
        <v>-1.4163250093178759E-3</v>
      </c>
      <c r="J364" s="95">
        <f t="shared" si="10"/>
        <v>5.7574224252288086E-3</v>
      </c>
      <c r="K364" s="37"/>
    </row>
    <row r="365" spans="3:11" x14ac:dyDescent="0.2">
      <c r="C365" s="21">
        <v>43647</v>
      </c>
      <c r="D365">
        <v>135.68</v>
      </c>
      <c r="E365">
        <v>2964.33</v>
      </c>
      <c r="F365">
        <v>22654.2</v>
      </c>
      <c r="I365" s="95">
        <f t="shared" si="11"/>
        <v>1.2839653627948699E-2</v>
      </c>
      <c r="J365" s="95">
        <f t="shared" si="10"/>
        <v>7.6722778200803976E-3</v>
      </c>
      <c r="K365" s="37"/>
    </row>
    <row r="366" spans="3:11" x14ac:dyDescent="0.2">
      <c r="C366" s="21">
        <v>43648</v>
      </c>
      <c r="D366">
        <v>136.58000000000001</v>
      </c>
      <c r="E366">
        <v>2973.01</v>
      </c>
      <c r="F366">
        <v>15237.8</v>
      </c>
      <c r="I366" s="95">
        <f t="shared" si="11"/>
        <v>6.633254716981174E-3</v>
      </c>
      <c r="J366" s="95">
        <f t="shared" si="10"/>
        <v>2.9281490252435205E-3</v>
      </c>
      <c r="K366" s="37"/>
    </row>
    <row r="367" spans="3:11" x14ac:dyDescent="0.2">
      <c r="C367" s="21">
        <v>43649</v>
      </c>
      <c r="D367">
        <v>137.46</v>
      </c>
      <c r="E367">
        <v>2995.82</v>
      </c>
      <c r="F367">
        <v>13629.3</v>
      </c>
      <c r="I367" s="95">
        <f t="shared" si="11"/>
        <v>6.4431102650461813E-3</v>
      </c>
      <c r="J367" s="95">
        <f t="shared" si="10"/>
        <v>7.672358989710748E-3</v>
      </c>
      <c r="K367" s="37"/>
    </row>
    <row r="368" spans="3:11" x14ac:dyDescent="0.2">
      <c r="C368" s="21">
        <v>43650</v>
      </c>
      <c r="D368">
        <v>137.46</v>
      </c>
      <c r="E368">
        <v>2995.82</v>
      </c>
      <c r="F368" t="e">
        <v>#N/A</v>
      </c>
      <c r="I368" s="95">
        <f t="shared" si="11"/>
        <v>0</v>
      </c>
      <c r="J368" s="95">
        <f t="shared" si="10"/>
        <v>0</v>
      </c>
      <c r="K368" s="37"/>
    </row>
    <row r="369" spans="3:11" x14ac:dyDescent="0.2">
      <c r="C369" s="21">
        <v>43651</v>
      </c>
      <c r="D369">
        <v>137.06</v>
      </c>
      <c r="E369">
        <v>2990.41</v>
      </c>
      <c r="F369">
        <v>18141.099999999999</v>
      </c>
      <c r="I369" s="95">
        <f t="shared" si="11"/>
        <v>-2.9099374363451558E-3</v>
      </c>
      <c r="J369" s="95">
        <f t="shared" si="10"/>
        <v>-1.8058494836139527E-3</v>
      </c>
      <c r="K369" s="37"/>
    </row>
    <row r="370" spans="3:11" x14ac:dyDescent="0.2">
      <c r="C370" s="21">
        <v>43654</v>
      </c>
      <c r="D370">
        <v>136.96</v>
      </c>
      <c r="E370">
        <v>2975.95</v>
      </c>
      <c r="F370">
        <v>16779.7</v>
      </c>
      <c r="I370" s="95">
        <f t="shared" si="11"/>
        <v>-7.29607471180449E-4</v>
      </c>
      <c r="J370" s="95">
        <f t="shared" si="10"/>
        <v>-4.8354573453138761E-3</v>
      </c>
      <c r="K370" s="37"/>
    </row>
    <row r="371" spans="3:11" x14ac:dyDescent="0.2">
      <c r="C371" s="21">
        <v>43655</v>
      </c>
      <c r="D371">
        <v>136.46</v>
      </c>
      <c r="E371">
        <v>2979.63</v>
      </c>
      <c r="F371">
        <v>19953.099999999999</v>
      </c>
      <c r="I371" s="95">
        <f t="shared" si="11"/>
        <v>-3.6507009345794206E-3</v>
      </c>
      <c r="J371" s="95">
        <f t="shared" si="10"/>
        <v>1.2365799156572876E-3</v>
      </c>
      <c r="K371" s="37"/>
    </row>
    <row r="372" spans="3:11" x14ac:dyDescent="0.2">
      <c r="C372" s="21">
        <v>43656</v>
      </c>
      <c r="D372">
        <v>137.85</v>
      </c>
      <c r="E372">
        <v>2993.07</v>
      </c>
      <c r="F372">
        <v>24204.400000000001</v>
      </c>
      <c r="I372" s="95">
        <f t="shared" si="11"/>
        <v>1.0186135131173835E-2</v>
      </c>
      <c r="J372" s="95">
        <f t="shared" si="10"/>
        <v>4.5106271584056667E-3</v>
      </c>
      <c r="K372" s="37"/>
    </row>
    <row r="373" spans="3:11" x14ac:dyDescent="0.2">
      <c r="C373" s="21">
        <v>43657</v>
      </c>
      <c r="D373">
        <v>138.4</v>
      </c>
      <c r="E373">
        <v>2999.91</v>
      </c>
      <c r="F373">
        <v>22327.9</v>
      </c>
      <c r="I373" s="95">
        <f t="shared" si="11"/>
        <v>3.9898440333696605E-3</v>
      </c>
      <c r="J373" s="95">
        <f t="shared" si="10"/>
        <v>2.285278994477169E-3</v>
      </c>
      <c r="K373" s="37"/>
    </row>
    <row r="374" spans="3:11" x14ac:dyDescent="0.2">
      <c r="C374" s="21">
        <v>43658</v>
      </c>
      <c r="D374">
        <v>138.9</v>
      </c>
      <c r="E374">
        <v>3013.77</v>
      </c>
      <c r="F374">
        <v>18936.8</v>
      </c>
      <c r="I374" s="95">
        <f t="shared" si="11"/>
        <v>3.6127167630057855E-3</v>
      </c>
      <c r="J374" s="95">
        <f t="shared" si="10"/>
        <v>4.6201386041582193E-3</v>
      </c>
      <c r="K374" s="37"/>
    </row>
    <row r="375" spans="3:11" x14ac:dyDescent="0.2">
      <c r="C375" s="21">
        <v>43661</v>
      </c>
      <c r="D375">
        <v>138.9</v>
      </c>
      <c r="E375">
        <v>3014.3</v>
      </c>
      <c r="F375">
        <v>16651.5</v>
      </c>
      <c r="I375" s="95">
        <f t="shared" si="11"/>
        <v>0</v>
      </c>
      <c r="J375" s="95">
        <f t="shared" si="10"/>
        <v>1.7585947169163063E-4</v>
      </c>
      <c r="K375" s="37"/>
    </row>
    <row r="376" spans="3:11" x14ac:dyDescent="0.2">
      <c r="C376" s="21">
        <v>43662</v>
      </c>
      <c r="D376">
        <v>137.08000000000001</v>
      </c>
      <c r="E376">
        <v>3004.04</v>
      </c>
      <c r="F376">
        <v>22726.1</v>
      </c>
      <c r="I376" s="95">
        <f t="shared" si="11"/>
        <v>-1.3102951763858894E-2</v>
      </c>
      <c r="J376" s="95">
        <f t="shared" si="10"/>
        <v>-3.4037753375577573E-3</v>
      </c>
      <c r="K376" s="37"/>
    </row>
    <row r="377" spans="3:11" x14ac:dyDescent="0.2">
      <c r="C377" s="21">
        <v>43663</v>
      </c>
      <c r="D377">
        <v>136.27000000000001</v>
      </c>
      <c r="E377">
        <v>2984.42</v>
      </c>
      <c r="F377">
        <v>20211</v>
      </c>
      <c r="I377" s="95">
        <f t="shared" si="11"/>
        <v>-5.9089582725415646E-3</v>
      </c>
      <c r="J377" s="95">
        <f t="shared" si="10"/>
        <v>-6.5312046444121474E-3</v>
      </c>
      <c r="K377" s="37"/>
    </row>
    <row r="378" spans="3:11" x14ac:dyDescent="0.2">
      <c r="C378" s="21">
        <v>43664</v>
      </c>
      <c r="D378">
        <v>136.41999999999999</v>
      </c>
      <c r="E378">
        <v>2995.11</v>
      </c>
      <c r="F378">
        <v>30808.7</v>
      </c>
      <c r="I378" s="95">
        <f t="shared" si="11"/>
        <v>1.100755852351698E-3</v>
      </c>
      <c r="J378" s="95">
        <f t="shared" si="10"/>
        <v>3.5819355184592006E-3</v>
      </c>
      <c r="K378" s="37"/>
    </row>
    <row r="379" spans="3:11" x14ac:dyDescent="0.2">
      <c r="C379" s="21">
        <v>43665</v>
      </c>
      <c r="D379">
        <v>136.62</v>
      </c>
      <c r="E379">
        <v>2976.61</v>
      </c>
      <c r="F379">
        <v>48992.4</v>
      </c>
      <c r="I379" s="95">
        <f t="shared" si="11"/>
        <v>1.4660606949128407E-3</v>
      </c>
      <c r="J379" s="95">
        <f t="shared" si="10"/>
        <v>-6.1767347442999165E-3</v>
      </c>
      <c r="K379" s="37"/>
    </row>
    <row r="380" spans="3:11" x14ac:dyDescent="0.2">
      <c r="C380" s="21">
        <v>43668</v>
      </c>
      <c r="D380">
        <v>138.43</v>
      </c>
      <c r="E380">
        <v>2985.03</v>
      </c>
      <c r="F380">
        <v>25080.799999999999</v>
      </c>
      <c r="I380" s="95">
        <f t="shared" si="11"/>
        <v>1.3248426291904591E-2</v>
      </c>
      <c r="J380" s="95">
        <f t="shared" si="10"/>
        <v>2.8287212634507952E-3</v>
      </c>
      <c r="K380" s="37"/>
    </row>
    <row r="381" spans="3:11" x14ac:dyDescent="0.2">
      <c r="C381" s="21">
        <v>43669</v>
      </c>
      <c r="D381">
        <v>139.29</v>
      </c>
      <c r="E381">
        <v>3005.47</v>
      </c>
      <c r="F381">
        <v>18034.599999999999</v>
      </c>
      <c r="I381" s="95">
        <f t="shared" si="11"/>
        <v>6.2125261865202397E-3</v>
      </c>
      <c r="J381" s="95">
        <f t="shared" si="10"/>
        <v>6.8475023701604076E-3</v>
      </c>
      <c r="K381" s="37"/>
    </row>
    <row r="382" spans="3:11" x14ac:dyDescent="0.2">
      <c r="C382" s="21">
        <v>43670</v>
      </c>
      <c r="D382">
        <v>140.72</v>
      </c>
      <c r="E382">
        <v>3019.56</v>
      </c>
      <c r="F382">
        <v>20738.3</v>
      </c>
      <c r="I382" s="95">
        <f t="shared" si="11"/>
        <v>1.0266350778950439E-2</v>
      </c>
      <c r="J382" s="95">
        <f t="shared" si="10"/>
        <v>4.68811866363672E-3</v>
      </c>
      <c r="K382" s="37"/>
    </row>
    <row r="383" spans="3:11" x14ac:dyDescent="0.2">
      <c r="C383" s="21">
        <v>43671</v>
      </c>
      <c r="D383">
        <v>140.19</v>
      </c>
      <c r="E383">
        <v>3003.67</v>
      </c>
      <c r="F383">
        <v>18356.900000000001</v>
      </c>
      <c r="I383" s="95">
        <f t="shared" si="11"/>
        <v>-3.7663445139283214E-3</v>
      </c>
      <c r="J383" s="95">
        <f t="shared" si="10"/>
        <v>-5.2623561048629197E-3</v>
      </c>
      <c r="K383" s="37"/>
    </row>
    <row r="384" spans="3:11" x14ac:dyDescent="0.2">
      <c r="C384" s="21">
        <v>43672</v>
      </c>
      <c r="D384">
        <v>141.34</v>
      </c>
      <c r="E384">
        <v>3025.86</v>
      </c>
      <c r="F384">
        <v>19037.599999999999</v>
      </c>
      <c r="I384" s="95">
        <f t="shared" si="11"/>
        <v>8.2031528639703311E-3</v>
      </c>
      <c r="J384" s="95">
        <f t="shared" si="10"/>
        <v>7.3876291336931743E-3</v>
      </c>
      <c r="K384" s="37"/>
    </row>
    <row r="385" spans="3:11" x14ac:dyDescent="0.2">
      <c r="C385" s="21">
        <v>43675</v>
      </c>
      <c r="D385">
        <v>141.03</v>
      </c>
      <c r="E385">
        <v>3020.97</v>
      </c>
      <c r="F385">
        <v>16605.900000000001</v>
      </c>
      <c r="I385" s="95">
        <f t="shared" si="11"/>
        <v>-2.1932927692089876E-3</v>
      </c>
      <c r="J385" s="95">
        <f t="shared" si="10"/>
        <v>-1.6160694810732901E-3</v>
      </c>
      <c r="K385" s="37"/>
    </row>
    <row r="386" spans="3:11" x14ac:dyDescent="0.2">
      <c r="C386" s="21">
        <v>43676</v>
      </c>
      <c r="D386">
        <v>140.35</v>
      </c>
      <c r="E386">
        <v>3013.18</v>
      </c>
      <c r="F386">
        <v>16846.5</v>
      </c>
      <c r="I386" s="95">
        <f t="shared" si="11"/>
        <v>-4.821669148408203E-3</v>
      </c>
      <c r="J386" s="95">
        <f t="shared" si="10"/>
        <v>-2.5786419593706311E-3</v>
      </c>
      <c r="K386" s="37"/>
    </row>
    <row r="387" spans="3:11" x14ac:dyDescent="0.2">
      <c r="C387" s="21">
        <v>43677</v>
      </c>
      <c r="D387">
        <v>136.27000000000001</v>
      </c>
      <c r="E387">
        <v>2980.38</v>
      </c>
      <c r="F387">
        <v>38598.800000000003</v>
      </c>
      <c r="I387" s="95">
        <f t="shared" si="11"/>
        <v>-2.9070181688635399E-2</v>
      </c>
      <c r="J387" s="95">
        <f t="shared" si="10"/>
        <v>-1.0885509660889747E-2</v>
      </c>
      <c r="K387" s="37"/>
    </row>
    <row r="388" spans="3:11" x14ac:dyDescent="0.2">
      <c r="C388" s="21">
        <v>43678</v>
      </c>
      <c r="D388">
        <v>138.06</v>
      </c>
      <c r="E388">
        <v>2953.56</v>
      </c>
      <c r="F388">
        <v>40557.5</v>
      </c>
      <c r="I388" s="95">
        <f t="shared" si="11"/>
        <v>1.3135686504733179E-2</v>
      </c>
      <c r="J388" s="95">
        <f t="shared" si="10"/>
        <v>-8.9988524953193982E-3</v>
      </c>
      <c r="K388" s="37"/>
    </row>
    <row r="389" spans="3:11" x14ac:dyDescent="0.2">
      <c r="C389" s="21">
        <v>43679</v>
      </c>
      <c r="D389">
        <v>136.9</v>
      </c>
      <c r="E389">
        <v>2932.05</v>
      </c>
      <c r="F389">
        <v>30791.599999999999</v>
      </c>
      <c r="I389" s="95">
        <f t="shared" si="11"/>
        <v>-8.4021439953643196E-3</v>
      </c>
      <c r="J389" s="95">
        <f t="shared" ref="J389:J452" si="12">E389/E388-1</f>
        <v>-7.2827367651240316E-3</v>
      </c>
      <c r="K389" s="37"/>
    </row>
    <row r="390" spans="3:11" x14ac:dyDescent="0.2">
      <c r="C390" s="21">
        <v>43682</v>
      </c>
      <c r="D390">
        <v>132.21</v>
      </c>
      <c r="E390">
        <v>2844.74</v>
      </c>
      <c r="F390">
        <v>42749.599999999999</v>
      </c>
      <c r="I390" s="95">
        <f t="shared" ref="I390:I453" si="13">D390/D389-1</f>
        <v>-3.4258582907231494E-2</v>
      </c>
      <c r="J390" s="95">
        <f t="shared" si="12"/>
        <v>-2.9777800514998121E-2</v>
      </c>
      <c r="K390" s="37"/>
    </row>
    <row r="391" spans="3:11" x14ac:dyDescent="0.2">
      <c r="C391" s="21">
        <v>43683</v>
      </c>
      <c r="D391">
        <v>134.69</v>
      </c>
      <c r="E391">
        <v>2881.77</v>
      </c>
      <c r="F391">
        <v>32696.7</v>
      </c>
      <c r="I391" s="95">
        <f t="shared" si="13"/>
        <v>1.875803645715135E-2</v>
      </c>
      <c r="J391" s="95">
        <f t="shared" si="12"/>
        <v>1.3017006826634425E-2</v>
      </c>
      <c r="K391" s="37"/>
    </row>
    <row r="392" spans="3:11" x14ac:dyDescent="0.2">
      <c r="C392" s="21">
        <v>43684</v>
      </c>
      <c r="D392">
        <v>135.28</v>
      </c>
      <c r="E392">
        <v>2883.98</v>
      </c>
      <c r="F392">
        <v>33414.5</v>
      </c>
      <c r="I392" s="95">
        <f t="shared" si="13"/>
        <v>4.3804291335660661E-3</v>
      </c>
      <c r="J392" s="95">
        <f t="shared" si="12"/>
        <v>7.6688979342565133E-4</v>
      </c>
      <c r="K392" s="37"/>
    </row>
    <row r="393" spans="3:11" x14ac:dyDescent="0.2">
      <c r="C393" s="21">
        <v>43685</v>
      </c>
      <c r="D393">
        <v>138.88999999999999</v>
      </c>
      <c r="E393">
        <v>2938.09</v>
      </c>
      <c r="F393">
        <v>27496.5</v>
      </c>
      <c r="I393" s="95">
        <f t="shared" si="13"/>
        <v>2.6685393258426782E-2</v>
      </c>
      <c r="J393" s="95">
        <f t="shared" si="12"/>
        <v>1.8762266035132091E-2</v>
      </c>
      <c r="K393" s="37"/>
    </row>
    <row r="394" spans="3:11" x14ac:dyDescent="0.2">
      <c r="C394" s="21">
        <v>43686</v>
      </c>
      <c r="D394">
        <v>137.71</v>
      </c>
      <c r="E394">
        <v>2918.65</v>
      </c>
      <c r="F394">
        <v>23466.7</v>
      </c>
      <c r="I394" s="95">
        <f t="shared" si="13"/>
        <v>-8.4959320325436183E-3</v>
      </c>
      <c r="J394" s="95">
        <f t="shared" si="12"/>
        <v>-6.6165434006446588E-3</v>
      </c>
      <c r="K394" s="37"/>
    </row>
    <row r="395" spans="3:11" x14ac:dyDescent="0.2">
      <c r="C395" s="21">
        <v>43689</v>
      </c>
      <c r="D395">
        <v>135.79</v>
      </c>
      <c r="E395">
        <v>2883.75</v>
      </c>
      <c r="F395">
        <v>20484.3</v>
      </c>
      <c r="I395" s="95">
        <f t="shared" si="13"/>
        <v>-1.394234260402305E-2</v>
      </c>
      <c r="J395" s="95">
        <f t="shared" si="12"/>
        <v>-1.1957583129186489E-2</v>
      </c>
      <c r="K395" s="37"/>
    </row>
    <row r="396" spans="3:11" x14ac:dyDescent="0.2">
      <c r="C396" s="21">
        <v>43690</v>
      </c>
      <c r="D396">
        <v>138.6</v>
      </c>
      <c r="E396">
        <v>2926.32</v>
      </c>
      <c r="F396">
        <v>25496.6</v>
      </c>
      <c r="I396" s="95">
        <f t="shared" si="13"/>
        <v>2.0693718241402204E-2</v>
      </c>
      <c r="J396" s="95">
        <f t="shared" si="12"/>
        <v>1.4762028608582556E-2</v>
      </c>
      <c r="K396" s="37"/>
    </row>
    <row r="397" spans="3:11" x14ac:dyDescent="0.2">
      <c r="C397" s="21">
        <v>43691</v>
      </c>
      <c r="D397">
        <v>133.97999999999999</v>
      </c>
      <c r="E397">
        <v>2840.6</v>
      </c>
      <c r="F397">
        <v>32527.3</v>
      </c>
      <c r="I397" s="95">
        <f t="shared" si="13"/>
        <v>-3.3333333333333326E-2</v>
      </c>
      <c r="J397" s="95">
        <f t="shared" si="12"/>
        <v>-2.9292763607534411E-2</v>
      </c>
      <c r="K397" s="37"/>
    </row>
    <row r="398" spans="3:11" x14ac:dyDescent="0.2">
      <c r="C398" s="21">
        <v>43692</v>
      </c>
      <c r="D398">
        <v>133.68</v>
      </c>
      <c r="E398">
        <v>2847.6</v>
      </c>
      <c r="F398">
        <v>28125.4</v>
      </c>
      <c r="I398" s="95">
        <f t="shared" si="13"/>
        <v>-2.2391401701745695E-3</v>
      </c>
      <c r="J398" s="95">
        <f t="shared" si="12"/>
        <v>2.464268112370549E-3</v>
      </c>
      <c r="K398" s="37"/>
    </row>
    <row r="399" spans="3:11" x14ac:dyDescent="0.2">
      <c r="C399" s="21">
        <v>43693</v>
      </c>
      <c r="D399">
        <v>136.13</v>
      </c>
      <c r="E399">
        <v>2888.68</v>
      </c>
      <c r="F399">
        <v>25026.2</v>
      </c>
      <c r="I399" s="95">
        <f t="shared" si="13"/>
        <v>1.8327348892878348E-2</v>
      </c>
      <c r="J399" s="95">
        <f t="shared" si="12"/>
        <v>1.4426183452732166E-2</v>
      </c>
      <c r="K399" s="37"/>
    </row>
    <row r="400" spans="3:11" x14ac:dyDescent="0.2">
      <c r="C400" s="21">
        <v>43696</v>
      </c>
      <c r="D400">
        <v>138.41</v>
      </c>
      <c r="E400">
        <v>2923.65</v>
      </c>
      <c r="F400">
        <v>24370.5</v>
      </c>
      <c r="I400" s="95">
        <f t="shared" si="13"/>
        <v>1.674869609931684E-2</v>
      </c>
      <c r="J400" s="95">
        <f t="shared" si="12"/>
        <v>1.2105875347909967E-2</v>
      </c>
      <c r="K400" s="37"/>
    </row>
    <row r="401" spans="3:11" x14ac:dyDescent="0.2">
      <c r="C401" s="21">
        <v>43697</v>
      </c>
      <c r="D401">
        <v>137.26</v>
      </c>
      <c r="E401">
        <v>2900.51</v>
      </c>
      <c r="F401">
        <v>21189</v>
      </c>
      <c r="I401" s="95">
        <f t="shared" si="13"/>
        <v>-8.3086482190594113E-3</v>
      </c>
      <c r="J401" s="95">
        <f t="shared" si="12"/>
        <v>-7.9147640791475959E-3</v>
      </c>
      <c r="K401" s="37"/>
    </row>
    <row r="402" spans="3:11" x14ac:dyDescent="0.2">
      <c r="C402" s="21">
        <v>43698</v>
      </c>
      <c r="D402">
        <v>138.79</v>
      </c>
      <c r="E402">
        <v>2924.43</v>
      </c>
      <c r="F402">
        <v>14982.3</v>
      </c>
      <c r="I402" s="95">
        <f t="shared" si="13"/>
        <v>1.1146728835786046E-2</v>
      </c>
      <c r="J402" s="95">
        <f t="shared" si="12"/>
        <v>8.2468255582637262E-3</v>
      </c>
      <c r="K402" s="37"/>
    </row>
    <row r="403" spans="3:11" x14ac:dyDescent="0.2">
      <c r="C403" s="21">
        <v>43699</v>
      </c>
      <c r="D403">
        <v>137.78</v>
      </c>
      <c r="E403">
        <v>2922.95</v>
      </c>
      <c r="F403">
        <v>18709.7</v>
      </c>
      <c r="I403" s="95">
        <f t="shared" si="13"/>
        <v>-7.2771813531233853E-3</v>
      </c>
      <c r="J403" s="95">
        <f t="shared" si="12"/>
        <v>-5.0608152699838094E-4</v>
      </c>
      <c r="K403" s="37"/>
    </row>
    <row r="404" spans="3:11" x14ac:dyDescent="0.2">
      <c r="C404" s="21">
        <v>43700</v>
      </c>
      <c r="D404">
        <v>133.38999999999999</v>
      </c>
      <c r="E404">
        <v>2847.11</v>
      </c>
      <c r="F404">
        <v>38515.4</v>
      </c>
      <c r="I404" s="95">
        <f t="shared" si="13"/>
        <v>-3.1862389316301476E-2</v>
      </c>
      <c r="J404" s="95">
        <f t="shared" si="12"/>
        <v>-2.5946389777450785E-2</v>
      </c>
      <c r="K404" s="37"/>
    </row>
    <row r="405" spans="3:11" x14ac:dyDescent="0.2">
      <c r="C405" s="21">
        <v>43703</v>
      </c>
      <c r="D405">
        <v>135.44999999999999</v>
      </c>
      <c r="E405">
        <v>2878.38</v>
      </c>
      <c r="F405">
        <v>20325.3</v>
      </c>
      <c r="I405" s="95">
        <f t="shared" si="13"/>
        <v>1.5443436539470667E-2</v>
      </c>
      <c r="J405" s="95">
        <f t="shared" si="12"/>
        <v>1.0983067039910699E-2</v>
      </c>
      <c r="K405" s="37"/>
    </row>
    <row r="406" spans="3:11" x14ac:dyDescent="0.2">
      <c r="C406" s="21">
        <v>43704</v>
      </c>
      <c r="D406">
        <v>135.74</v>
      </c>
      <c r="E406">
        <v>2869.16</v>
      </c>
      <c r="F406">
        <v>23115.599999999999</v>
      </c>
      <c r="I406" s="95">
        <f t="shared" si="13"/>
        <v>2.1410114433371152E-3</v>
      </c>
      <c r="J406" s="95">
        <f t="shared" si="12"/>
        <v>-3.2031906836484936E-3</v>
      </c>
      <c r="K406" s="37"/>
    </row>
    <row r="407" spans="3:11" x14ac:dyDescent="0.2">
      <c r="C407" s="21">
        <v>43705</v>
      </c>
      <c r="D407">
        <v>135.56</v>
      </c>
      <c r="E407">
        <v>2887.94</v>
      </c>
      <c r="F407">
        <v>17410.8</v>
      </c>
      <c r="I407" s="95">
        <f t="shared" si="13"/>
        <v>-1.3260645351407252E-3</v>
      </c>
      <c r="J407" s="95">
        <f t="shared" si="12"/>
        <v>6.545469754213773E-3</v>
      </c>
      <c r="K407" s="37"/>
    </row>
    <row r="408" spans="3:11" x14ac:dyDescent="0.2">
      <c r="C408" s="21">
        <v>43706</v>
      </c>
      <c r="D408">
        <v>138.12</v>
      </c>
      <c r="E408">
        <v>2924.58</v>
      </c>
      <c r="F408">
        <v>20179.7</v>
      </c>
      <c r="I408" s="95">
        <f t="shared" si="13"/>
        <v>1.8884626733549625E-2</v>
      </c>
      <c r="J408" s="95">
        <f t="shared" si="12"/>
        <v>1.2687244194824032E-2</v>
      </c>
      <c r="K408" s="37"/>
    </row>
    <row r="409" spans="3:11" x14ac:dyDescent="0.2">
      <c r="C409" s="21">
        <v>43707</v>
      </c>
      <c r="D409">
        <v>137.86000000000001</v>
      </c>
      <c r="E409">
        <v>2926.46</v>
      </c>
      <c r="F409">
        <v>23946.1</v>
      </c>
      <c r="I409" s="95">
        <f t="shared" si="13"/>
        <v>-1.8824210831160926E-3</v>
      </c>
      <c r="J409" s="95">
        <f t="shared" si="12"/>
        <v>6.4282734614895531E-4</v>
      </c>
      <c r="K409" s="37"/>
    </row>
    <row r="410" spans="3:11" x14ac:dyDescent="0.2">
      <c r="C410" s="21">
        <v>43710</v>
      </c>
      <c r="D410">
        <v>137.86000000000001</v>
      </c>
      <c r="E410">
        <v>2926.46</v>
      </c>
      <c r="F410" t="e">
        <v>#N/A</v>
      </c>
      <c r="I410" s="95">
        <f t="shared" si="13"/>
        <v>0</v>
      </c>
      <c r="J410" s="95">
        <f t="shared" si="12"/>
        <v>0</v>
      </c>
      <c r="K410" s="37"/>
    </row>
    <row r="411" spans="3:11" x14ac:dyDescent="0.2">
      <c r="C411" s="21">
        <v>43711</v>
      </c>
      <c r="D411">
        <v>136.04</v>
      </c>
      <c r="E411">
        <v>2906.27</v>
      </c>
      <c r="F411">
        <v>18880.8</v>
      </c>
      <c r="I411" s="95">
        <f t="shared" si="13"/>
        <v>-1.3201798926447239E-2</v>
      </c>
      <c r="J411" s="95">
        <f t="shared" si="12"/>
        <v>-6.8991204390287386E-3</v>
      </c>
      <c r="K411" s="37"/>
    </row>
    <row r="412" spans="3:11" x14ac:dyDescent="0.2">
      <c r="C412" s="21">
        <v>43712</v>
      </c>
      <c r="D412">
        <v>137.63</v>
      </c>
      <c r="E412">
        <v>2937.78</v>
      </c>
      <c r="F412">
        <v>18015.3</v>
      </c>
      <c r="I412" s="95">
        <f t="shared" si="13"/>
        <v>1.1687738900323374E-2</v>
      </c>
      <c r="J412" s="95">
        <f t="shared" si="12"/>
        <v>1.0842075925499017E-2</v>
      </c>
      <c r="K412" s="37"/>
    </row>
    <row r="413" spans="3:11" x14ac:dyDescent="0.2">
      <c r="C413" s="21">
        <v>43713</v>
      </c>
      <c r="D413">
        <v>140.05000000000001</v>
      </c>
      <c r="E413">
        <v>2976</v>
      </c>
      <c r="F413">
        <v>26119.5</v>
      </c>
      <c r="I413" s="95">
        <f t="shared" si="13"/>
        <v>1.7583375717503458E-2</v>
      </c>
      <c r="J413" s="95">
        <f t="shared" si="12"/>
        <v>1.3009823744460025E-2</v>
      </c>
      <c r="K413" s="37"/>
    </row>
    <row r="414" spans="3:11" x14ac:dyDescent="0.2">
      <c r="C414" s="21">
        <v>43714</v>
      </c>
      <c r="D414">
        <v>139.1</v>
      </c>
      <c r="E414">
        <v>2978.71</v>
      </c>
      <c r="F414">
        <v>20824.5</v>
      </c>
      <c r="I414" s="95">
        <f t="shared" si="13"/>
        <v>-6.7832916815424582E-3</v>
      </c>
      <c r="J414" s="95">
        <f t="shared" si="12"/>
        <v>9.1061827956995245E-4</v>
      </c>
      <c r="K414" s="37"/>
    </row>
    <row r="415" spans="3:11" x14ac:dyDescent="0.2">
      <c r="C415" s="21">
        <v>43717</v>
      </c>
      <c r="D415">
        <v>137.52000000000001</v>
      </c>
      <c r="E415">
        <v>2978.43</v>
      </c>
      <c r="F415">
        <v>25773.9</v>
      </c>
      <c r="I415" s="95">
        <f t="shared" si="13"/>
        <v>-1.1358734723220576E-2</v>
      </c>
      <c r="J415" s="95">
        <f t="shared" si="12"/>
        <v>-9.4000423002005284E-5</v>
      </c>
      <c r="K415" s="37"/>
    </row>
    <row r="416" spans="3:11" x14ac:dyDescent="0.2">
      <c r="C416" s="21">
        <v>43718</v>
      </c>
      <c r="D416">
        <v>136.08000000000001</v>
      </c>
      <c r="E416">
        <v>2979.39</v>
      </c>
      <c r="F416">
        <v>28903.4</v>
      </c>
      <c r="I416" s="95">
        <f t="shared" si="13"/>
        <v>-1.0471204188481686E-2</v>
      </c>
      <c r="J416" s="95">
        <f t="shared" si="12"/>
        <v>3.2231746255573235E-4</v>
      </c>
      <c r="K416" s="37"/>
    </row>
    <row r="417" spans="3:11" x14ac:dyDescent="0.2">
      <c r="C417" s="21">
        <v>43719</v>
      </c>
      <c r="D417">
        <v>136.12</v>
      </c>
      <c r="E417">
        <v>3000.93</v>
      </c>
      <c r="F417">
        <v>24726.1</v>
      </c>
      <c r="I417" s="95">
        <f t="shared" si="13"/>
        <v>2.9394473838917357E-4</v>
      </c>
      <c r="J417" s="95">
        <f t="shared" si="12"/>
        <v>7.2296678179091245E-3</v>
      </c>
      <c r="K417" s="37"/>
    </row>
    <row r="418" spans="3:11" x14ac:dyDescent="0.2">
      <c r="C418" s="21">
        <v>43720</v>
      </c>
      <c r="D418">
        <v>137.52000000000001</v>
      </c>
      <c r="E418">
        <v>3009.57</v>
      </c>
      <c r="F418">
        <v>27010</v>
      </c>
      <c r="I418" s="95">
        <f t="shared" si="13"/>
        <v>1.028504260946228E-2</v>
      </c>
      <c r="J418" s="95">
        <f t="shared" si="12"/>
        <v>2.8791074766822966E-3</v>
      </c>
      <c r="K418" s="37"/>
    </row>
    <row r="419" spans="3:11" x14ac:dyDescent="0.2">
      <c r="C419" s="21">
        <v>43721</v>
      </c>
      <c r="D419">
        <v>137.32</v>
      </c>
      <c r="E419">
        <v>3007.39</v>
      </c>
      <c r="F419">
        <v>23363.1</v>
      </c>
      <c r="I419" s="95">
        <f t="shared" si="13"/>
        <v>-1.4543339150669965E-3</v>
      </c>
      <c r="J419" s="95">
        <f t="shared" si="12"/>
        <v>-7.2435597111886185E-4</v>
      </c>
      <c r="K419" s="37"/>
    </row>
    <row r="420" spans="3:11" x14ac:dyDescent="0.2">
      <c r="C420" s="21">
        <v>43724</v>
      </c>
      <c r="D420">
        <v>136.33000000000001</v>
      </c>
      <c r="E420">
        <v>2997.96</v>
      </c>
      <c r="F420">
        <v>16731.400000000001</v>
      </c>
      <c r="I420" s="95">
        <f t="shared" si="13"/>
        <v>-7.2094378094959E-3</v>
      </c>
      <c r="J420" s="95">
        <f t="shared" si="12"/>
        <v>-3.1356092824674775E-3</v>
      </c>
      <c r="K420" s="37"/>
    </row>
    <row r="421" spans="3:11" x14ac:dyDescent="0.2">
      <c r="C421" s="21">
        <v>43725</v>
      </c>
      <c r="D421">
        <v>137.38999999999999</v>
      </c>
      <c r="E421">
        <v>3005.7</v>
      </c>
      <c r="F421">
        <v>17976.3</v>
      </c>
      <c r="I421" s="95">
        <f t="shared" si="13"/>
        <v>7.7752512286362041E-3</v>
      </c>
      <c r="J421" s="95">
        <f t="shared" si="12"/>
        <v>2.5817555938036918E-3</v>
      </c>
      <c r="K421" s="37"/>
    </row>
    <row r="422" spans="3:11" x14ac:dyDescent="0.2">
      <c r="C422" s="21">
        <v>43726</v>
      </c>
      <c r="D422">
        <v>138.52000000000001</v>
      </c>
      <c r="E422">
        <v>3006.73</v>
      </c>
      <c r="F422">
        <v>24473.4</v>
      </c>
      <c r="I422" s="95">
        <f t="shared" si="13"/>
        <v>8.2247616274839785E-3</v>
      </c>
      <c r="J422" s="95">
        <f t="shared" si="12"/>
        <v>3.4268223708289192E-4</v>
      </c>
      <c r="K422" s="37"/>
    </row>
    <row r="423" spans="3:11" x14ac:dyDescent="0.2">
      <c r="C423" s="21">
        <v>43727</v>
      </c>
      <c r="D423">
        <v>141.07</v>
      </c>
      <c r="E423">
        <v>3006.79</v>
      </c>
      <c r="F423">
        <v>36095.4</v>
      </c>
      <c r="I423" s="95">
        <f t="shared" si="13"/>
        <v>1.840889402252377E-2</v>
      </c>
      <c r="J423" s="95">
        <f t="shared" si="12"/>
        <v>1.9955233758972568E-5</v>
      </c>
      <c r="K423" s="37"/>
    </row>
    <row r="424" spans="3:11" x14ac:dyDescent="0.2">
      <c r="C424" s="21">
        <v>43728</v>
      </c>
      <c r="D424">
        <v>139.44</v>
      </c>
      <c r="E424">
        <v>2992.07</v>
      </c>
      <c r="F424">
        <v>40040.800000000003</v>
      </c>
      <c r="I424" s="95">
        <f t="shared" si="13"/>
        <v>-1.1554547387821579E-2</v>
      </c>
      <c r="J424" s="95">
        <f t="shared" si="12"/>
        <v>-4.895586322955614E-3</v>
      </c>
      <c r="K424" s="37"/>
    </row>
    <row r="425" spans="3:11" x14ac:dyDescent="0.2">
      <c r="C425" s="21">
        <v>43731</v>
      </c>
      <c r="D425">
        <v>139.13999999999999</v>
      </c>
      <c r="E425">
        <v>2991.78</v>
      </c>
      <c r="F425">
        <v>17408.400000000001</v>
      </c>
      <c r="I425" s="95">
        <f t="shared" si="13"/>
        <v>-2.1514629948365949E-3</v>
      </c>
      <c r="J425" s="95">
        <f t="shared" si="12"/>
        <v>-9.6922866109405703E-5</v>
      </c>
      <c r="K425" s="37"/>
    </row>
    <row r="426" spans="3:11" x14ac:dyDescent="0.2">
      <c r="C426" s="21">
        <v>43732</v>
      </c>
      <c r="D426">
        <v>137.38</v>
      </c>
      <c r="E426">
        <v>2966.6</v>
      </c>
      <c r="F426">
        <v>30016.7</v>
      </c>
      <c r="I426" s="95">
        <f t="shared" si="13"/>
        <v>-1.2649130372286876E-2</v>
      </c>
      <c r="J426" s="95">
        <f t="shared" si="12"/>
        <v>-8.4163942535883107E-3</v>
      </c>
      <c r="K426" s="37"/>
    </row>
    <row r="427" spans="3:11" x14ac:dyDescent="0.2">
      <c r="C427" s="21">
        <v>43733</v>
      </c>
      <c r="D427">
        <v>139.36000000000001</v>
      </c>
      <c r="E427">
        <v>2984.87</v>
      </c>
      <c r="F427">
        <v>22544.1</v>
      </c>
      <c r="I427" s="95">
        <f t="shared" si="13"/>
        <v>1.441257825010922E-2</v>
      </c>
      <c r="J427" s="95">
        <f t="shared" si="12"/>
        <v>6.1585653610194413E-3</v>
      </c>
      <c r="K427" s="37"/>
    </row>
    <row r="428" spans="3:11" x14ac:dyDescent="0.2">
      <c r="C428" s="21">
        <v>43734</v>
      </c>
      <c r="D428">
        <v>139.54</v>
      </c>
      <c r="E428">
        <v>2977.62</v>
      </c>
      <c r="F428">
        <v>17813.5</v>
      </c>
      <c r="I428" s="95">
        <f t="shared" si="13"/>
        <v>1.2916188289320285E-3</v>
      </c>
      <c r="J428" s="95">
        <f t="shared" si="12"/>
        <v>-2.4289165022262083E-3</v>
      </c>
      <c r="K428" s="37"/>
    </row>
    <row r="429" spans="3:11" x14ac:dyDescent="0.2">
      <c r="C429" s="21">
        <v>43735</v>
      </c>
      <c r="D429">
        <v>137.72999999999999</v>
      </c>
      <c r="E429">
        <v>2961.79</v>
      </c>
      <c r="F429">
        <v>22499</v>
      </c>
      <c r="I429" s="95">
        <f t="shared" si="13"/>
        <v>-1.2971191056327935E-2</v>
      </c>
      <c r="J429" s="95">
        <f t="shared" si="12"/>
        <v>-5.316326462073695E-3</v>
      </c>
      <c r="K429" s="37"/>
    </row>
    <row r="430" spans="3:11" x14ac:dyDescent="0.2">
      <c r="C430" s="21">
        <v>43738</v>
      </c>
      <c r="D430">
        <v>139.03</v>
      </c>
      <c r="E430">
        <v>2976.74</v>
      </c>
      <c r="F430">
        <v>18430.400000000001</v>
      </c>
      <c r="I430" s="95">
        <f t="shared" si="13"/>
        <v>9.4387569883105371E-3</v>
      </c>
      <c r="J430" s="95">
        <f t="shared" si="12"/>
        <v>5.0476232278453548E-3</v>
      </c>
      <c r="K430" s="37"/>
    </row>
    <row r="431" spans="3:11" x14ac:dyDescent="0.2">
      <c r="C431" s="21">
        <v>43739</v>
      </c>
      <c r="D431">
        <v>137.07</v>
      </c>
      <c r="E431">
        <v>2940.25</v>
      </c>
      <c r="F431">
        <v>22581.9</v>
      </c>
      <c r="I431" s="95">
        <f t="shared" si="13"/>
        <v>-1.4097676760411515E-2</v>
      </c>
      <c r="J431" s="95">
        <f t="shared" si="12"/>
        <v>-1.2258376613342059E-2</v>
      </c>
      <c r="K431" s="37"/>
    </row>
    <row r="432" spans="3:11" x14ac:dyDescent="0.2">
      <c r="C432" s="21">
        <v>43740</v>
      </c>
      <c r="D432">
        <v>134.65</v>
      </c>
      <c r="E432">
        <v>2887.61</v>
      </c>
      <c r="F432">
        <v>32001.8</v>
      </c>
      <c r="I432" s="95">
        <f t="shared" si="13"/>
        <v>-1.7655212665061537E-2</v>
      </c>
      <c r="J432" s="95">
        <f t="shared" si="12"/>
        <v>-1.7903239520448921E-2</v>
      </c>
      <c r="K432" s="37"/>
    </row>
    <row r="433" spans="3:11" x14ac:dyDescent="0.2">
      <c r="C433" s="21">
        <v>43741</v>
      </c>
      <c r="D433">
        <v>136.28</v>
      </c>
      <c r="E433">
        <v>2910.63</v>
      </c>
      <c r="F433">
        <v>26379.8</v>
      </c>
      <c r="I433" s="95">
        <f t="shared" si="13"/>
        <v>1.2105458596360918E-2</v>
      </c>
      <c r="J433" s="95">
        <f t="shared" si="12"/>
        <v>7.9719906774113891E-3</v>
      </c>
      <c r="K433" s="37"/>
    </row>
    <row r="434" spans="3:11" x14ac:dyDescent="0.2">
      <c r="C434" s="21">
        <v>43742</v>
      </c>
      <c r="D434">
        <v>138.12</v>
      </c>
      <c r="E434">
        <v>2952.01</v>
      </c>
      <c r="F434">
        <v>23839.5</v>
      </c>
      <c r="I434" s="95">
        <f t="shared" si="13"/>
        <v>1.3501614323451649E-2</v>
      </c>
      <c r="J434" s="95">
        <f t="shared" si="12"/>
        <v>1.4216853396000317E-2</v>
      </c>
      <c r="K434" s="37"/>
    </row>
    <row r="435" spans="3:11" x14ac:dyDescent="0.2">
      <c r="C435" s="21">
        <v>43745</v>
      </c>
      <c r="D435">
        <v>137.12</v>
      </c>
      <c r="E435">
        <v>2938.79</v>
      </c>
      <c r="F435">
        <v>16601.3</v>
      </c>
      <c r="I435" s="95">
        <f t="shared" si="13"/>
        <v>-7.2400810889081679E-3</v>
      </c>
      <c r="J435" s="95">
        <f t="shared" si="12"/>
        <v>-4.4783046127893078E-3</v>
      </c>
      <c r="K435" s="37"/>
    </row>
    <row r="436" spans="3:11" x14ac:dyDescent="0.2">
      <c r="C436" s="21">
        <v>43746</v>
      </c>
      <c r="D436">
        <v>135.66999999999999</v>
      </c>
      <c r="E436">
        <v>2893.06</v>
      </c>
      <c r="F436">
        <v>26783.3</v>
      </c>
      <c r="I436" s="95">
        <f t="shared" si="13"/>
        <v>-1.0574679113185659E-2</v>
      </c>
      <c r="J436" s="95">
        <f t="shared" si="12"/>
        <v>-1.5560826054260457E-2</v>
      </c>
      <c r="K436" s="37"/>
    </row>
    <row r="437" spans="3:11" x14ac:dyDescent="0.2">
      <c r="C437" s="21">
        <v>43747</v>
      </c>
      <c r="D437">
        <v>138.24</v>
      </c>
      <c r="E437">
        <v>2919.4</v>
      </c>
      <c r="F437">
        <v>20178.5</v>
      </c>
      <c r="I437" s="95">
        <f t="shared" si="13"/>
        <v>1.8943023512935975E-2</v>
      </c>
      <c r="J437" s="95">
        <f t="shared" si="12"/>
        <v>9.104546742895181E-3</v>
      </c>
      <c r="K437" s="37"/>
    </row>
    <row r="438" spans="3:11" x14ac:dyDescent="0.2">
      <c r="C438" s="21">
        <v>43748</v>
      </c>
      <c r="D438">
        <v>139.1</v>
      </c>
      <c r="E438">
        <v>2938.13</v>
      </c>
      <c r="F438">
        <v>18396.599999999999</v>
      </c>
      <c r="I438" s="95">
        <f t="shared" si="13"/>
        <v>6.2210648148146586E-3</v>
      </c>
      <c r="J438" s="95">
        <f t="shared" si="12"/>
        <v>6.4157018565458301E-3</v>
      </c>
      <c r="K438" s="37"/>
    </row>
    <row r="439" spans="3:11" x14ac:dyDescent="0.2">
      <c r="C439" s="21">
        <v>43749</v>
      </c>
      <c r="D439">
        <v>139.68</v>
      </c>
      <c r="E439">
        <v>2970.27</v>
      </c>
      <c r="F439">
        <v>25551.1</v>
      </c>
      <c r="I439" s="95">
        <f t="shared" si="13"/>
        <v>4.1696621135873801E-3</v>
      </c>
      <c r="J439" s="95">
        <f t="shared" si="12"/>
        <v>1.0938930544257763E-2</v>
      </c>
      <c r="K439" s="37"/>
    </row>
    <row r="440" spans="3:11" x14ac:dyDescent="0.2">
      <c r="C440" s="21">
        <v>43752</v>
      </c>
      <c r="D440">
        <v>139.55000000000001</v>
      </c>
      <c r="E440">
        <v>2966.15</v>
      </c>
      <c r="F440">
        <v>13591.6</v>
      </c>
      <c r="I440" s="95">
        <f t="shared" si="13"/>
        <v>-9.3069873997708719E-4</v>
      </c>
      <c r="J440" s="95">
        <f t="shared" si="12"/>
        <v>-1.3870792890882111E-3</v>
      </c>
      <c r="K440" s="37"/>
    </row>
    <row r="441" spans="3:11" x14ac:dyDescent="0.2">
      <c r="C441" s="21">
        <v>43753</v>
      </c>
      <c r="D441">
        <v>141.57499999999999</v>
      </c>
      <c r="E441">
        <v>2995.68</v>
      </c>
      <c r="F441">
        <v>19917.8</v>
      </c>
      <c r="I441" s="95">
        <f t="shared" si="13"/>
        <v>1.4510927982801736E-2</v>
      </c>
      <c r="J441" s="95">
        <f t="shared" si="12"/>
        <v>9.9556664362894232E-3</v>
      </c>
      <c r="K441" s="37"/>
    </row>
    <row r="442" spans="3:11" x14ac:dyDescent="0.2">
      <c r="C442" s="21">
        <v>43754</v>
      </c>
      <c r="D442">
        <v>140.41</v>
      </c>
      <c r="E442">
        <v>2989.69</v>
      </c>
      <c r="F442">
        <v>20841.7</v>
      </c>
      <c r="I442" s="95">
        <f t="shared" si="13"/>
        <v>-8.2288539643298186E-3</v>
      </c>
      <c r="J442" s="95">
        <f t="shared" si="12"/>
        <v>-1.9995460129251796E-3</v>
      </c>
      <c r="K442" s="37"/>
    </row>
    <row r="443" spans="3:11" x14ac:dyDescent="0.2">
      <c r="C443" s="21">
        <v>43755</v>
      </c>
      <c r="D443">
        <v>139.69</v>
      </c>
      <c r="E443">
        <v>2997.95</v>
      </c>
      <c r="F443">
        <v>22102.799999999999</v>
      </c>
      <c r="I443" s="95">
        <f t="shared" si="13"/>
        <v>-5.1278398974431427E-3</v>
      </c>
      <c r="J443" s="95">
        <f t="shared" si="12"/>
        <v>2.7628282530964832E-3</v>
      </c>
      <c r="K443" s="37"/>
    </row>
    <row r="444" spans="3:11" x14ac:dyDescent="0.2">
      <c r="C444" s="21">
        <v>43756</v>
      </c>
      <c r="D444">
        <v>137.41</v>
      </c>
      <c r="E444">
        <v>2986.2</v>
      </c>
      <c r="F444">
        <v>32284.400000000001</v>
      </c>
      <c r="I444" s="95">
        <f t="shared" si="13"/>
        <v>-1.6321855537261065E-2</v>
      </c>
      <c r="J444" s="95">
        <f t="shared" si="12"/>
        <v>-3.919344885671916E-3</v>
      </c>
      <c r="K444" s="37"/>
    </row>
    <row r="445" spans="3:11" x14ac:dyDescent="0.2">
      <c r="C445" s="21">
        <v>43759</v>
      </c>
      <c r="D445">
        <v>138.43</v>
      </c>
      <c r="E445">
        <v>3006.72</v>
      </c>
      <c r="F445">
        <v>20716</v>
      </c>
      <c r="I445" s="95">
        <f t="shared" si="13"/>
        <v>7.4230405356234819E-3</v>
      </c>
      <c r="J445" s="95">
        <f t="shared" si="12"/>
        <v>6.8716094032550412E-3</v>
      </c>
      <c r="K445" s="37"/>
    </row>
    <row r="446" spans="3:11" x14ac:dyDescent="0.2">
      <c r="C446" s="21">
        <v>43760</v>
      </c>
      <c r="D446">
        <v>136.37</v>
      </c>
      <c r="E446">
        <v>2995.99</v>
      </c>
      <c r="F446">
        <v>27935.3</v>
      </c>
      <c r="I446" s="95">
        <f t="shared" si="13"/>
        <v>-1.4881167377013615E-2</v>
      </c>
      <c r="J446" s="95">
        <f t="shared" si="12"/>
        <v>-3.5686728395061262E-3</v>
      </c>
      <c r="K446" s="37"/>
    </row>
    <row r="447" spans="3:11" x14ac:dyDescent="0.2">
      <c r="C447" s="21">
        <v>43761</v>
      </c>
      <c r="D447">
        <v>137.24</v>
      </c>
      <c r="E447">
        <v>3004.52</v>
      </c>
      <c r="F447">
        <v>31380.3</v>
      </c>
      <c r="I447" s="95">
        <f t="shared" si="13"/>
        <v>6.3797022805602843E-3</v>
      </c>
      <c r="J447" s="95">
        <f t="shared" si="12"/>
        <v>2.8471390091422411E-3</v>
      </c>
      <c r="K447" s="37"/>
    </row>
    <row r="448" spans="3:11" x14ac:dyDescent="0.2">
      <c r="C448" s="21">
        <v>43762</v>
      </c>
      <c r="D448">
        <v>139.94</v>
      </c>
      <c r="E448">
        <v>3010.29</v>
      </c>
      <c r="F448">
        <v>37278.400000000001</v>
      </c>
      <c r="I448" s="95">
        <f t="shared" si="13"/>
        <v>1.9673564558437606E-2</v>
      </c>
      <c r="J448" s="95">
        <f t="shared" si="12"/>
        <v>1.920439870594981E-3</v>
      </c>
      <c r="K448" s="37"/>
    </row>
    <row r="449" spans="3:11" x14ac:dyDescent="0.2">
      <c r="C449" s="21">
        <v>43763</v>
      </c>
      <c r="D449">
        <v>140.72999999999999</v>
      </c>
      <c r="E449">
        <v>3022.55</v>
      </c>
      <c r="F449">
        <v>25959.7</v>
      </c>
      <c r="I449" s="95">
        <f t="shared" si="13"/>
        <v>5.6452765470915711E-3</v>
      </c>
      <c r="J449" s="95">
        <f t="shared" si="12"/>
        <v>4.0726973148768053E-3</v>
      </c>
      <c r="K449" s="37"/>
    </row>
    <row r="450" spans="3:11" x14ac:dyDescent="0.2">
      <c r="C450" s="21">
        <v>43766</v>
      </c>
      <c r="D450">
        <v>144.19</v>
      </c>
      <c r="E450">
        <v>3039.42</v>
      </c>
      <c r="F450">
        <v>35280.1</v>
      </c>
      <c r="I450" s="95">
        <f t="shared" si="13"/>
        <v>2.4586086832942611E-2</v>
      </c>
      <c r="J450" s="95">
        <f t="shared" si="12"/>
        <v>5.5813799606292402E-3</v>
      </c>
      <c r="K450" s="37"/>
    </row>
    <row r="451" spans="3:11" x14ac:dyDescent="0.2">
      <c r="C451" s="21">
        <v>43767</v>
      </c>
      <c r="D451">
        <v>142.83000000000001</v>
      </c>
      <c r="E451">
        <v>3036.89</v>
      </c>
      <c r="F451">
        <v>20589.5</v>
      </c>
      <c r="I451" s="95">
        <f t="shared" si="13"/>
        <v>-9.4319994451763645E-3</v>
      </c>
      <c r="J451" s="95">
        <f t="shared" si="12"/>
        <v>-8.323956544341593E-4</v>
      </c>
      <c r="K451" s="37"/>
    </row>
    <row r="452" spans="3:11" x14ac:dyDescent="0.2">
      <c r="C452" s="21">
        <v>43768</v>
      </c>
      <c r="D452">
        <v>144.61000000000001</v>
      </c>
      <c r="E452">
        <v>3046.77</v>
      </c>
      <c r="F452">
        <v>18496.599999999999</v>
      </c>
      <c r="I452" s="95">
        <f t="shared" si="13"/>
        <v>1.2462367849891409E-2</v>
      </c>
      <c r="J452" s="95">
        <f t="shared" si="12"/>
        <v>3.2533282404039188E-3</v>
      </c>
      <c r="K452" s="37"/>
    </row>
    <row r="453" spans="3:11" x14ac:dyDescent="0.2">
      <c r="C453" s="21">
        <v>43769</v>
      </c>
      <c r="D453">
        <v>143.37</v>
      </c>
      <c r="E453">
        <v>3037.56</v>
      </c>
      <c r="F453">
        <v>24605.1</v>
      </c>
      <c r="I453" s="95">
        <f t="shared" si="13"/>
        <v>-8.5747873591038859E-3</v>
      </c>
      <c r="J453" s="95">
        <f t="shared" ref="J453:J516" si="14">E453/E452-1</f>
        <v>-3.0228734036372717E-3</v>
      </c>
      <c r="K453" s="37"/>
    </row>
    <row r="454" spans="3:11" x14ac:dyDescent="0.2">
      <c r="C454" s="21">
        <v>43770</v>
      </c>
      <c r="D454">
        <v>143.72</v>
      </c>
      <c r="E454">
        <v>3066.91</v>
      </c>
      <c r="F454">
        <v>33128.400000000001</v>
      </c>
      <c r="I454" s="95">
        <f t="shared" ref="I454:I517" si="15">D454/D453-1</f>
        <v>2.4412359628931402E-3</v>
      </c>
      <c r="J454" s="95">
        <f t="shared" si="14"/>
        <v>9.6623605788856981E-3</v>
      </c>
      <c r="K454" s="37"/>
    </row>
    <row r="455" spans="3:11" x14ac:dyDescent="0.2">
      <c r="C455" s="21">
        <v>43773</v>
      </c>
      <c r="D455">
        <v>144.55000000000001</v>
      </c>
      <c r="E455">
        <v>3078.27</v>
      </c>
      <c r="F455">
        <v>16912</v>
      </c>
      <c r="I455" s="95">
        <f t="shared" si="15"/>
        <v>5.7751182855554362E-3</v>
      </c>
      <c r="J455" s="95">
        <f t="shared" si="14"/>
        <v>3.70405391746087E-3</v>
      </c>
      <c r="K455" s="37"/>
    </row>
    <row r="456" spans="3:11" x14ac:dyDescent="0.2">
      <c r="C456" s="21">
        <v>43774</v>
      </c>
      <c r="D456">
        <v>144.46</v>
      </c>
      <c r="E456">
        <v>3074.62</v>
      </c>
      <c r="F456">
        <v>18250.2</v>
      </c>
      <c r="I456" s="95">
        <f t="shared" si="15"/>
        <v>-6.2262193012796452E-4</v>
      </c>
      <c r="J456" s="95">
        <f t="shared" si="14"/>
        <v>-1.1857309462782739E-3</v>
      </c>
      <c r="K456" s="37"/>
    </row>
    <row r="457" spans="3:11" x14ac:dyDescent="0.2">
      <c r="C457" s="21">
        <v>43775</v>
      </c>
      <c r="D457">
        <v>144.06</v>
      </c>
      <c r="E457">
        <v>3076.78</v>
      </c>
      <c r="F457">
        <v>16575.8</v>
      </c>
      <c r="I457" s="95">
        <f t="shared" si="15"/>
        <v>-2.7689325764918005E-3</v>
      </c>
      <c r="J457" s="95">
        <f t="shared" si="14"/>
        <v>7.0252584059171674E-4</v>
      </c>
      <c r="K457" s="37"/>
    </row>
    <row r="458" spans="3:11" x14ac:dyDescent="0.2">
      <c r="C458" s="21">
        <v>43776</v>
      </c>
      <c r="D458">
        <v>144.26</v>
      </c>
      <c r="E458">
        <v>3085.18</v>
      </c>
      <c r="F458">
        <v>17786.7</v>
      </c>
      <c r="I458" s="95">
        <f t="shared" si="15"/>
        <v>1.3883104262111257E-3</v>
      </c>
      <c r="J458" s="95">
        <f t="shared" si="14"/>
        <v>2.7301269509030224E-3</v>
      </c>
      <c r="K458" s="37"/>
    </row>
    <row r="459" spans="3:11" x14ac:dyDescent="0.2">
      <c r="C459" s="21">
        <v>43777</v>
      </c>
      <c r="D459">
        <v>145.96</v>
      </c>
      <c r="E459">
        <v>3093.08</v>
      </c>
      <c r="F459">
        <v>16752.900000000001</v>
      </c>
      <c r="I459" s="95">
        <f t="shared" si="15"/>
        <v>1.1784278386247182E-2</v>
      </c>
      <c r="J459" s="95">
        <f t="shared" si="14"/>
        <v>2.5606285532773221E-3</v>
      </c>
      <c r="K459" s="37"/>
    </row>
    <row r="460" spans="3:11" x14ac:dyDescent="0.2">
      <c r="C460" s="21">
        <v>43780</v>
      </c>
      <c r="D460">
        <v>146.11000000000001</v>
      </c>
      <c r="E460">
        <v>3087.01</v>
      </c>
      <c r="F460">
        <v>14370.2</v>
      </c>
      <c r="I460" s="95">
        <f t="shared" si="15"/>
        <v>1.0276788161140971E-3</v>
      </c>
      <c r="J460" s="95">
        <f t="shared" si="14"/>
        <v>-1.9624452002533488E-3</v>
      </c>
      <c r="K460" s="37"/>
    </row>
    <row r="461" spans="3:11" x14ac:dyDescent="0.2">
      <c r="C461" s="21">
        <v>43781</v>
      </c>
      <c r="D461">
        <v>147.07</v>
      </c>
      <c r="E461">
        <v>3091.84</v>
      </c>
      <c r="F461">
        <v>18648.7</v>
      </c>
      <c r="I461" s="95">
        <f t="shared" si="15"/>
        <v>6.5703921702824353E-3</v>
      </c>
      <c r="J461" s="95">
        <f t="shared" si="14"/>
        <v>1.5646207819215441E-3</v>
      </c>
      <c r="K461" s="37"/>
    </row>
    <row r="462" spans="3:11" x14ac:dyDescent="0.2">
      <c r="C462" s="21">
        <v>43782</v>
      </c>
      <c r="D462">
        <v>147.31</v>
      </c>
      <c r="E462">
        <v>3094.04</v>
      </c>
      <c r="F462">
        <v>17444.2</v>
      </c>
      <c r="I462" s="95">
        <f t="shared" si="15"/>
        <v>1.6318759774258673E-3</v>
      </c>
      <c r="J462" s="95">
        <f t="shared" si="14"/>
        <v>7.1155040364301314E-4</v>
      </c>
      <c r="K462" s="37"/>
    </row>
    <row r="463" spans="3:11" x14ac:dyDescent="0.2">
      <c r="C463" s="21">
        <v>43783</v>
      </c>
      <c r="D463">
        <v>148.06</v>
      </c>
      <c r="E463">
        <v>3096.63</v>
      </c>
      <c r="F463">
        <v>19755.099999999999</v>
      </c>
      <c r="I463" s="95">
        <f t="shared" si="15"/>
        <v>5.0913040526781028E-3</v>
      </c>
      <c r="J463" s="95">
        <f t="shared" si="14"/>
        <v>8.3709325024883263E-4</v>
      </c>
      <c r="K463" s="37"/>
    </row>
    <row r="464" spans="3:11" x14ac:dyDescent="0.2">
      <c r="C464" s="21">
        <v>43784</v>
      </c>
      <c r="D464">
        <v>149.97</v>
      </c>
      <c r="E464">
        <v>3120.46</v>
      </c>
      <c r="F464">
        <v>23508.799999999999</v>
      </c>
      <c r="I464" s="95">
        <f t="shared" si="15"/>
        <v>1.2900175604484643E-2</v>
      </c>
      <c r="J464" s="95">
        <f t="shared" si="14"/>
        <v>7.6954624866387711E-3</v>
      </c>
      <c r="K464" s="37"/>
    </row>
    <row r="465" spans="3:11" x14ac:dyDescent="0.2">
      <c r="C465" s="21">
        <v>43787</v>
      </c>
      <c r="D465">
        <v>150.34</v>
      </c>
      <c r="E465">
        <v>3122.03</v>
      </c>
      <c r="F465">
        <v>21554.799999999999</v>
      </c>
      <c r="I465" s="95">
        <f t="shared" si="15"/>
        <v>2.4671600986865272E-3</v>
      </c>
      <c r="J465" s="95">
        <f t="shared" si="14"/>
        <v>5.0313094864229413E-4</v>
      </c>
      <c r="K465" s="37"/>
    </row>
    <row r="466" spans="3:11" x14ac:dyDescent="0.2">
      <c r="C466" s="21">
        <v>43788</v>
      </c>
      <c r="D466">
        <v>150.38999999999999</v>
      </c>
      <c r="E466">
        <v>3120.18</v>
      </c>
      <c r="F466">
        <v>23960.2</v>
      </c>
      <c r="I466" s="95">
        <f t="shared" si="15"/>
        <v>3.325794864972309E-4</v>
      </c>
      <c r="J466" s="95">
        <f t="shared" si="14"/>
        <v>-5.9256317203881803E-4</v>
      </c>
      <c r="K466" s="37"/>
    </row>
    <row r="467" spans="3:11" x14ac:dyDescent="0.2">
      <c r="C467" s="21">
        <v>43789</v>
      </c>
      <c r="D467">
        <v>149.62</v>
      </c>
      <c r="E467">
        <v>3108.46</v>
      </c>
      <c r="F467">
        <v>25720.1</v>
      </c>
      <c r="I467" s="95">
        <f t="shared" si="15"/>
        <v>-5.1200212780103671E-3</v>
      </c>
      <c r="J467" s="95">
        <f t="shared" si="14"/>
        <v>-3.7561935529359936E-3</v>
      </c>
      <c r="K467" s="37"/>
    </row>
    <row r="468" spans="3:11" x14ac:dyDescent="0.2">
      <c r="C468" s="21">
        <v>43790</v>
      </c>
      <c r="D468">
        <v>149.47999999999999</v>
      </c>
      <c r="E468">
        <v>3103.54</v>
      </c>
      <c r="F468">
        <v>18576.099999999999</v>
      </c>
      <c r="I468" s="95">
        <f t="shared" si="15"/>
        <v>-9.3570378291685241E-4</v>
      </c>
      <c r="J468" s="95">
        <f t="shared" si="14"/>
        <v>-1.5827773238195064E-3</v>
      </c>
      <c r="K468" s="37"/>
    </row>
    <row r="469" spans="3:11" x14ac:dyDescent="0.2">
      <c r="C469" s="21">
        <v>43791</v>
      </c>
      <c r="D469">
        <v>149.59</v>
      </c>
      <c r="E469">
        <v>3110.29</v>
      </c>
      <c r="F469">
        <v>15841.7</v>
      </c>
      <c r="I469" s="95">
        <f t="shared" si="15"/>
        <v>7.3588439925087457E-4</v>
      </c>
      <c r="J469" s="95">
        <f t="shared" si="14"/>
        <v>2.1749357185665286E-3</v>
      </c>
      <c r="K469" s="37"/>
    </row>
    <row r="470" spans="3:11" x14ac:dyDescent="0.2">
      <c r="C470" s="21">
        <v>43794</v>
      </c>
      <c r="D470">
        <v>151.22999999999999</v>
      </c>
      <c r="E470">
        <v>3133.64</v>
      </c>
      <c r="F470">
        <v>22428.6</v>
      </c>
      <c r="I470" s="95">
        <f t="shared" si="15"/>
        <v>1.0963299685807781E-2</v>
      </c>
      <c r="J470" s="95">
        <f t="shared" si="14"/>
        <v>7.5073385439943241E-3</v>
      </c>
      <c r="K470" s="37"/>
    </row>
    <row r="471" spans="3:11" x14ac:dyDescent="0.2">
      <c r="C471" s="21">
        <v>43795</v>
      </c>
      <c r="D471">
        <v>152.03</v>
      </c>
      <c r="E471">
        <v>3140.52</v>
      </c>
      <c r="F471">
        <v>24635.1</v>
      </c>
      <c r="I471" s="95">
        <f t="shared" si="15"/>
        <v>5.2899556966210515E-3</v>
      </c>
      <c r="J471" s="95">
        <f t="shared" si="14"/>
        <v>2.1955297992111156E-3</v>
      </c>
      <c r="K471" s="37"/>
    </row>
    <row r="472" spans="3:11" x14ac:dyDescent="0.2">
      <c r="C472" s="21">
        <v>43796</v>
      </c>
      <c r="D472">
        <v>152.32</v>
      </c>
      <c r="E472">
        <v>3153.63</v>
      </c>
      <c r="F472">
        <v>15201.3</v>
      </c>
      <c r="I472" s="95">
        <f t="shared" si="15"/>
        <v>1.9075182529764145E-3</v>
      </c>
      <c r="J472" s="95">
        <f t="shared" si="14"/>
        <v>4.1744679225097503E-3</v>
      </c>
      <c r="K472" s="37"/>
    </row>
    <row r="473" spans="3:11" x14ac:dyDescent="0.2">
      <c r="C473" s="21">
        <v>43797</v>
      </c>
      <c r="D473">
        <v>152.32</v>
      </c>
      <c r="E473">
        <v>3153.63</v>
      </c>
      <c r="F473" t="e">
        <v>#N/A</v>
      </c>
      <c r="I473" s="95">
        <f t="shared" si="15"/>
        <v>0</v>
      </c>
      <c r="J473" s="95">
        <f t="shared" si="14"/>
        <v>0</v>
      </c>
      <c r="K473" s="37"/>
    </row>
    <row r="474" spans="3:11" x14ac:dyDescent="0.2">
      <c r="C474" s="21">
        <v>43798</v>
      </c>
      <c r="D474">
        <v>151.38</v>
      </c>
      <c r="E474">
        <v>3140.98</v>
      </c>
      <c r="F474">
        <v>11977.3</v>
      </c>
      <c r="I474" s="95">
        <f t="shared" si="15"/>
        <v>-6.1712184873949916E-3</v>
      </c>
      <c r="J474" s="95">
        <f t="shared" si="14"/>
        <v>-4.0112505271703291E-3</v>
      </c>
      <c r="K474" s="37"/>
    </row>
    <row r="475" spans="3:11" x14ac:dyDescent="0.2">
      <c r="C475" s="21">
        <v>43801</v>
      </c>
      <c r="D475">
        <v>149.55000000000001</v>
      </c>
      <c r="E475">
        <v>3113.87</v>
      </c>
      <c r="F475">
        <v>27473.599999999999</v>
      </c>
      <c r="I475" s="95">
        <f t="shared" si="15"/>
        <v>-1.2088783194609487E-2</v>
      </c>
      <c r="J475" s="95">
        <f t="shared" si="14"/>
        <v>-8.6310641901572449E-3</v>
      </c>
      <c r="K475" s="37"/>
    </row>
    <row r="476" spans="3:11" x14ac:dyDescent="0.2">
      <c r="C476" s="21">
        <v>43802</v>
      </c>
      <c r="D476">
        <v>149.31</v>
      </c>
      <c r="E476">
        <v>3093.2</v>
      </c>
      <c r="F476">
        <v>25192.1</v>
      </c>
      <c r="I476" s="95">
        <f t="shared" si="15"/>
        <v>-1.6048144433300493E-3</v>
      </c>
      <c r="J476" s="95">
        <f t="shared" si="14"/>
        <v>-6.6380420505672832E-3</v>
      </c>
      <c r="K476" s="37"/>
    </row>
    <row r="477" spans="3:11" x14ac:dyDescent="0.2">
      <c r="C477" s="21">
        <v>43803</v>
      </c>
      <c r="D477">
        <v>149.85</v>
      </c>
      <c r="E477">
        <v>3112.76</v>
      </c>
      <c r="F477">
        <v>17580.599999999999</v>
      </c>
      <c r="I477" s="95">
        <f t="shared" si="15"/>
        <v>3.6166365280287938E-3</v>
      </c>
      <c r="J477" s="95">
        <f t="shared" si="14"/>
        <v>6.323548428811776E-3</v>
      </c>
      <c r="K477" s="37"/>
    </row>
    <row r="478" spans="3:11" x14ac:dyDescent="0.2">
      <c r="C478" s="21">
        <v>43804</v>
      </c>
      <c r="D478">
        <v>149.93</v>
      </c>
      <c r="E478">
        <v>3117.43</v>
      </c>
      <c r="F478">
        <v>17880.599999999999</v>
      </c>
      <c r="I478" s="95">
        <f t="shared" si="15"/>
        <v>5.3386720053394399E-4</v>
      </c>
      <c r="J478" s="95">
        <f t="shared" si="14"/>
        <v>1.500276282141666E-3</v>
      </c>
      <c r="K478" s="37"/>
    </row>
    <row r="479" spans="3:11" x14ac:dyDescent="0.2">
      <c r="C479" s="21">
        <v>43805</v>
      </c>
      <c r="D479">
        <v>151.75</v>
      </c>
      <c r="E479">
        <v>3145.91</v>
      </c>
      <c r="F479">
        <v>16410.400000000001</v>
      </c>
      <c r="I479" s="95">
        <f t="shared" si="15"/>
        <v>1.2138998199159534E-2</v>
      </c>
      <c r="J479" s="95">
        <f t="shared" si="14"/>
        <v>9.1357303933048417E-3</v>
      </c>
      <c r="K479" s="37"/>
    </row>
    <row r="480" spans="3:11" x14ac:dyDescent="0.2">
      <c r="C480" s="21">
        <v>43808</v>
      </c>
      <c r="D480">
        <v>151.36000000000001</v>
      </c>
      <c r="E480">
        <v>3135.96</v>
      </c>
      <c r="F480">
        <v>16741.400000000001</v>
      </c>
      <c r="I480" s="95">
        <f t="shared" si="15"/>
        <v>-2.5700164744645315E-3</v>
      </c>
      <c r="J480" s="95">
        <f t="shared" si="14"/>
        <v>-3.1628368262283102E-3</v>
      </c>
      <c r="K480" s="37"/>
    </row>
    <row r="481" spans="3:11" x14ac:dyDescent="0.2">
      <c r="C481" s="21">
        <v>43809</v>
      </c>
      <c r="D481">
        <v>151.13</v>
      </c>
      <c r="E481">
        <v>3132.52</v>
      </c>
      <c r="F481">
        <v>16481.099999999999</v>
      </c>
      <c r="I481" s="95">
        <f t="shared" si="15"/>
        <v>-1.5195560253701279E-3</v>
      </c>
      <c r="J481" s="95">
        <f t="shared" si="14"/>
        <v>-1.0969527672547441E-3</v>
      </c>
      <c r="K481" s="37"/>
    </row>
    <row r="482" spans="3:11" x14ac:dyDescent="0.2">
      <c r="C482" s="21">
        <v>43810</v>
      </c>
      <c r="D482">
        <v>151.69999999999999</v>
      </c>
      <c r="E482">
        <v>3141.63</v>
      </c>
      <c r="F482">
        <v>18860</v>
      </c>
      <c r="I482" s="95">
        <f t="shared" si="15"/>
        <v>3.7715873751074103E-3</v>
      </c>
      <c r="J482" s="95">
        <f t="shared" si="14"/>
        <v>2.9082017034209873E-3</v>
      </c>
      <c r="K482" s="37"/>
    </row>
    <row r="483" spans="3:11" x14ac:dyDescent="0.2">
      <c r="C483" s="21">
        <v>43811</v>
      </c>
      <c r="D483">
        <v>153.24</v>
      </c>
      <c r="E483">
        <v>3168.57</v>
      </c>
      <c r="F483">
        <v>24645.4</v>
      </c>
      <c r="I483" s="95">
        <f t="shared" si="15"/>
        <v>1.0151615029663885E-2</v>
      </c>
      <c r="J483" s="95">
        <f t="shared" si="14"/>
        <v>8.5751663945150547E-3</v>
      </c>
      <c r="K483" s="37"/>
    </row>
    <row r="484" spans="3:11" x14ac:dyDescent="0.2">
      <c r="C484" s="21">
        <v>43812</v>
      </c>
      <c r="D484">
        <v>154.53</v>
      </c>
      <c r="E484">
        <v>3168.8</v>
      </c>
      <c r="F484">
        <v>23850.1</v>
      </c>
      <c r="I484" s="95">
        <f t="shared" si="15"/>
        <v>8.4181675802661449E-3</v>
      </c>
      <c r="J484" s="95">
        <f t="shared" si="14"/>
        <v>7.258794976916505E-5</v>
      </c>
      <c r="K484" s="37"/>
    </row>
    <row r="485" spans="3:11" x14ac:dyDescent="0.2">
      <c r="C485" s="21">
        <v>43815</v>
      </c>
      <c r="D485">
        <v>155.53</v>
      </c>
      <c r="E485">
        <v>3191.45</v>
      </c>
      <c r="F485">
        <v>24152.799999999999</v>
      </c>
      <c r="I485" s="95">
        <f t="shared" si="15"/>
        <v>6.4712353588300964E-3</v>
      </c>
      <c r="J485" s="95">
        <f t="shared" si="14"/>
        <v>7.1478162080280683E-3</v>
      </c>
      <c r="K485" s="37"/>
    </row>
    <row r="486" spans="3:11" x14ac:dyDescent="0.2">
      <c r="C486" s="21">
        <v>43816</v>
      </c>
      <c r="D486">
        <v>154.69</v>
      </c>
      <c r="E486">
        <v>3192.52</v>
      </c>
      <c r="F486">
        <v>25443.5</v>
      </c>
      <c r="I486" s="95">
        <f t="shared" si="15"/>
        <v>-5.4008872886259773E-3</v>
      </c>
      <c r="J486" s="95">
        <f t="shared" si="14"/>
        <v>3.3527080167328194E-4</v>
      </c>
      <c r="K486" s="37"/>
    </row>
    <row r="487" spans="3:11" x14ac:dyDescent="0.2">
      <c r="C487" s="21">
        <v>43817</v>
      </c>
      <c r="D487">
        <v>154.37</v>
      </c>
      <c r="E487">
        <v>3191.14</v>
      </c>
      <c r="F487">
        <v>24132.400000000001</v>
      </c>
      <c r="I487" s="95">
        <f t="shared" si="15"/>
        <v>-2.068653435904011E-3</v>
      </c>
      <c r="J487" s="95">
        <f t="shared" si="14"/>
        <v>-4.3226040870536497E-4</v>
      </c>
      <c r="K487" s="37"/>
    </row>
    <row r="488" spans="3:11" x14ac:dyDescent="0.2">
      <c r="C488" s="21">
        <v>43818</v>
      </c>
      <c r="D488">
        <v>155.71</v>
      </c>
      <c r="E488">
        <v>3205.37</v>
      </c>
      <c r="F488">
        <v>25813.8</v>
      </c>
      <c r="I488" s="95">
        <f t="shared" si="15"/>
        <v>8.680443091274137E-3</v>
      </c>
      <c r="J488" s="95">
        <f t="shared" si="14"/>
        <v>4.4592214694434418E-3</v>
      </c>
      <c r="K488" s="37"/>
    </row>
    <row r="489" spans="3:11" x14ac:dyDescent="0.2">
      <c r="C489" s="21">
        <v>43819</v>
      </c>
      <c r="D489">
        <v>157.41</v>
      </c>
      <c r="E489">
        <v>3221.22</v>
      </c>
      <c r="F489">
        <v>53599.6</v>
      </c>
      <c r="I489" s="95">
        <f t="shared" si="15"/>
        <v>1.0917731680688325E-2</v>
      </c>
      <c r="J489" s="95">
        <f t="shared" si="14"/>
        <v>4.9448269622538454E-3</v>
      </c>
      <c r="K489" s="37"/>
    </row>
    <row r="490" spans="3:11" x14ac:dyDescent="0.2">
      <c r="C490" s="21">
        <v>43822</v>
      </c>
      <c r="D490">
        <v>157.41</v>
      </c>
      <c r="E490">
        <v>3224.01</v>
      </c>
      <c r="F490">
        <v>17726.3</v>
      </c>
      <c r="I490" s="95">
        <f t="shared" si="15"/>
        <v>0</v>
      </c>
      <c r="J490" s="95">
        <f t="shared" si="14"/>
        <v>8.6613146571812294E-4</v>
      </c>
      <c r="K490" s="37"/>
    </row>
    <row r="491" spans="3:11" x14ac:dyDescent="0.2">
      <c r="C491" s="21">
        <v>43823</v>
      </c>
      <c r="D491">
        <v>157.38</v>
      </c>
      <c r="E491">
        <v>3223.38</v>
      </c>
      <c r="F491">
        <v>8989.1</v>
      </c>
      <c r="I491" s="95">
        <f t="shared" si="15"/>
        <v>-1.9058509624547693E-4</v>
      </c>
      <c r="J491" s="95">
        <f t="shared" si="14"/>
        <v>-1.9540882317370389E-4</v>
      </c>
      <c r="K491" s="37"/>
    </row>
    <row r="492" spans="3:11" x14ac:dyDescent="0.2">
      <c r="C492" s="21">
        <v>43824</v>
      </c>
      <c r="D492">
        <v>157.38</v>
      </c>
      <c r="E492">
        <v>3223.38</v>
      </c>
      <c r="F492" t="e">
        <v>#N/A</v>
      </c>
      <c r="I492" s="95">
        <f t="shared" si="15"/>
        <v>0</v>
      </c>
      <c r="J492" s="95">
        <f t="shared" si="14"/>
        <v>0</v>
      </c>
      <c r="K492" s="37"/>
    </row>
    <row r="493" spans="3:11" x14ac:dyDescent="0.2">
      <c r="C493" s="21">
        <v>43825</v>
      </c>
      <c r="D493">
        <v>158.66999999999999</v>
      </c>
      <c r="E493">
        <v>3239.91</v>
      </c>
      <c r="F493">
        <v>14526.9</v>
      </c>
      <c r="I493" s="95">
        <f t="shared" si="15"/>
        <v>8.1967213114753079E-3</v>
      </c>
      <c r="J493" s="95">
        <f t="shared" si="14"/>
        <v>5.1281573999961694E-3</v>
      </c>
      <c r="K493" s="37"/>
    </row>
    <row r="494" spans="3:11" x14ac:dyDescent="0.2">
      <c r="C494" s="21">
        <v>43826</v>
      </c>
      <c r="D494">
        <v>158.96</v>
      </c>
      <c r="E494">
        <v>3240.02</v>
      </c>
      <c r="F494">
        <v>18414.400000000001</v>
      </c>
      <c r="I494" s="95">
        <f t="shared" si="15"/>
        <v>1.8276926955318462E-3</v>
      </c>
      <c r="J494" s="95">
        <f t="shared" si="14"/>
        <v>3.3951560382883272E-5</v>
      </c>
      <c r="K494" s="37"/>
    </row>
    <row r="495" spans="3:11" x14ac:dyDescent="0.2">
      <c r="C495" s="21">
        <v>43829</v>
      </c>
      <c r="D495">
        <v>157.59</v>
      </c>
      <c r="E495">
        <v>3221.29</v>
      </c>
      <c r="F495">
        <v>16356.7</v>
      </c>
      <c r="I495" s="95">
        <f t="shared" si="15"/>
        <v>-8.6185203824862278E-3</v>
      </c>
      <c r="J495" s="95">
        <f t="shared" si="14"/>
        <v>-5.7808285134042237E-3</v>
      </c>
      <c r="K495" s="37"/>
    </row>
    <row r="496" spans="3:11" x14ac:dyDescent="0.2">
      <c r="C496" s="21">
        <v>43830</v>
      </c>
      <c r="D496">
        <v>157.69999999999999</v>
      </c>
      <c r="E496">
        <v>3230.78</v>
      </c>
      <c r="F496">
        <v>18393.400000000001</v>
      </c>
      <c r="I496" s="95">
        <f t="shared" si="15"/>
        <v>6.9801383336498546E-4</v>
      </c>
      <c r="J496" s="95">
        <f t="shared" si="14"/>
        <v>2.9460247292234509E-3</v>
      </c>
      <c r="K496" s="37"/>
    </row>
    <row r="497" spans="3:11" x14ac:dyDescent="0.2">
      <c r="C497" s="21">
        <v>43831</v>
      </c>
      <c r="D497">
        <v>157.69999999999999</v>
      </c>
      <c r="E497">
        <v>3230.78</v>
      </c>
      <c r="F497" t="e">
        <v>#N/A</v>
      </c>
      <c r="I497" s="95">
        <f t="shared" si="15"/>
        <v>0</v>
      </c>
      <c r="J497" s="95">
        <f t="shared" si="14"/>
        <v>0</v>
      </c>
      <c r="K497" s="37"/>
    </row>
    <row r="498" spans="3:11" x14ac:dyDescent="0.2">
      <c r="C498" s="21">
        <v>43832</v>
      </c>
      <c r="D498">
        <v>160.62</v>
      </c>
      <c r="E498">
        <v>3257.85</v>
      </c>
      <c r="F498">
        <v>22634.5</v>
      </c>
      <c r="I498" s="95">
        <f t="shared" si="15"/>
        <v>1.8516169942929706E-2</v>
      </c>
      <c r="J498" s="95">
        <f t="shared" si="14"/>
        <v>8.3787815945375321E-3</v>
      </c>
      <c r="K498" s="37"/>
    </row>
    <row r="499" spans="3:11" x14ac:dyDescent="0.2">
      <c r="C499" s="21">
        <v>43833</v>
      </c>
      <c r="D499">
        <v>158.62</v>
      </c>
      <c r="E499">
        <v>3234.85</v>
      </c>
      <c r="F499">
        <v>21121.7</v>
      </c>
      <c r="I499" s="95">
        <f t="shared" si="15"/>
        <v>-1.2451749470800633E-2</v>
      </c>
      <c r="J499" s="95">
        <f t="shared" si="14"/>
        <v>-7.059870773669763E-3</v>
      </c>
      <c r="K499" s="37"/>
    </row>
    <row r="500" spans="3:11" x14ac:dyDescent="0.2">
      <c r="C500" s="21">
        <v>43836</v>
      </c>
      <c r="D500">
        <v>159.03</v>
      </c>
      <c r="E500">
        <v>3246.28</v>
      </c>
      <c r="F500">
        <v>20826.7</v>
      </c>
      <c r="I500" s="95">
        <f t="shared" si="15"/>
        <v>2.5847938469296672E-3</v>
      </c>
      <c r="J500" s="95">
        <f t="shared" si="14"/>
        <v>3.5333941295578875E-3</v>
      </c>
      <c r="K500" s="37"/>
    </row>
    <row r="501" spans="3:11" x14ac:dyDescent="0.2">
      <c r="C501" s="21">
        <v>43837</v>
      </c>
      <c r="D501">
        <v>157.58000000000001</v>
      </c>
      <c r="E501">
        <v>3237.18</v>
      </c>
      <c r="F501">
        <v>21881.7</v>
      </c>
      <c r="I501" s="95">
        <f t="shared" si="15"/>
        <v>-9.1177765201533312E-3</v>
      </c>
      <c r="J501" s="95">
        <f t="shared" si="14"/>
        <v>-2.8032085956850583E-3</v>
      </c>
      <c r="K501" s="37"/>
    </row>
    <row r="502" spans="3:11" x14ac:dyDescent="0.2">
      <c r="C502" s="21">
        <v>43838</v>
      </c>
      <c r="D502">
        <v>160.09</v>
      </c>
      <c r="E502">
        <v>3253.05</v>
      </c>
      <c r="F502">
        <v>27762</v>
      </c>
      <c r="I502" s="95">
        <f t="shared" si="15"/>
        <v>1.592841731184147E-2</v>
      </c>
      <c r="J502" s="95">
        <f t="shared" si="14"/>
        <v>4.9024150649641385E-3</v>
      </c>
      <c r="K502" s="37"/>
    </row>
    <row r="503" spans="3:11" x14ac:dyDescent="0.2">
      <c r="C503" s="21">
        <v>43839</v>
      </c>
      <c r="D503">
        <v>162.09</v>
      </c>
      <c r="E503">
        <v>3274.7</v>
      </c>
      <c r="F503">
        <v>21399.9</v>
      </c>
      <c r="I503" s="95">
        <f t="shared" si="15"/>
        <v>1.2492972702854654E-2</v>
      </c>
      <c r="J503" s="95">
        <f t="shared" si="14"/>
        <v>6.6552927252885308E-3</v>
      </c>
      <c r="K503" s="37"/>
    </row>
    <row r="504" spans="3:11" x14ac:dyDescent="0.2">
      <c r="C504" s="21">
        <v>43840</v>
      </c>
      <c r="D504">
        <v>161.34</v>
      </c>
      <c r="E504">
        <v>3265.35</v>
      </c>
      <c r="F504">
        <v>20733.900000000001</v>
      </c>
      <c r="I504" s="95">
        <f t="shared" si="15"/>
        <v>-4.6270590412733625E-3</v>
      </c>
      <c r="J504" s="95">
        <f t="shared" si="14"/>
        <v>-2.8552233792408233E-3</v>
      </c>
      <c r="K504" s="37"/>
    </row>
    <row r="505" spans="3:11" x14ac:dyDescent="0.2">
      <c r="C505" s="21">
        <v>43843</v>
      </c>
      <c r="D505">
        <v>163.28</v>
      </c>
      <c r="E505">
        <v>3288.13</v>
      </c>
      <c r="F505">
        <v>21637</v>
      </c>
      <c r="I505" s="95">
        <f t="shared" si="15"/>
        <v>1.2024296516672806E-2</v>
      </c>
      <c r="J505" s="95">
        <f t="shared" si="14"/>
        <v>6.9762812562206289E-3</v>
      </c>
      <c r="K505" s="37"/>
    </row>
    <row r="506" spans="3:11" x14ac:dyDescent="0.2">
      <c r="C506" s="21">
        <v>43844</v>
      </c>
      <c r="D506">
        <v>162.13</v>
      </c>
      <c r="E506">
        <v>3283.15</v>
      </c>
      <c r="F506">
        <v>23500.799999999999</v>
      </c>
      <c r="I506" s="95">
        <f t="shared" si="15"/>
        <v>-7.0431161195493308E-3</v>
      </c>
      <c r="J506" s="95">
        <f t="shared" si="14"/>
        <v>-1.5145386587512855E-3</v>
      </c>
      <c r="K506" s="37"/>
    </row>
    <row r="507" spans="3:11" x14ac:dyDescent="0.2">
      <c r="C507" s="21">
        <v>43845</v>
      </c>
      <c r="D507">
        <v>163.18</v>
      </c>
      <c r="E507">
        <v>3289.29</v>
      </c>
      <c r="F507">
        <v>21417.9</v>
      </c>
      <c r="I507" s="95">
        <f t="shared" si="15"/>
        <v>6.4762844630852356E-3</v>
      </c>
      <c r="J507" s="95">
        <f t="shared" si="14"/>
        <v>1.870155186330269E-3</v>
      </c>
      <c r="K507" s="37"/>
    </row>
    <row r="508" spans="3:11" x14ac:dyDescent="0.2">
      <c r="C508" s="21">
        <v>43846</v>
      </c>
      <c r="D508">
        <v>166.17</v>
      </c>
      <c r="E508">
        <v>3316.81</v>
      </c>
      <c r="F508">
        <v>23865.4</v>
      </c>
      <c r="I508" s="95">
        <f t="shared" si="15"/>
        <v>1.8323323936756841E-2</v>
      </c>
      <c r="J508" s="95">
        <f t="shared" si="14"/>
        <v>8.3665471879950104E-3</v>
      </c>
      <c r="K508" s="37"/>
    </row>
    <row r="509" spans="3:11" x14ac:dyDescent="0.2">
      <c r="C509" s="21">
        <v>43847</v>
      </c>
      <c r="D509">
        <v>167.1</v>
      </c>
      <c r="E509">
        <v>3329.62</v>
      </c>
      <c r="F509">
        <v>34371.699999999997</v>
      </c>
      <c r="I509" s="95">
        <f t="shared" si="15"/>
        <v>5.59667810074016E-3</v>
      </c>
      <c r="J509" s="95">
        <f t="shared" si="14"/>
        <v>3.862144651035182E-3</v>
      </c>
      <c r="K509" s="37"/>
    </row>
    <row r="510" spans="3:11" x14ac:dyDescent="0.2">
      <c r="C510" s="21">
        <v>43850</v>
      </c>
      <c r="D510">
        <v>167.1</v>
      </c>
      <c r="E510">
        <v>3329.62</v>
      </c>
      <c r="F510" t="e">
        <v>#N/A</v>
      </c>
      <c r="I510" s="95">
        <f t="shared" si="15"/>
        <v>0</v>
      </c>
      <c r="J510" s="95">
        <f t="shared" si="14"/>
        <v>0</v>
      </c>
      <c r="K510" s="37"/>
    </row>
    <row r="511" spans="3:11" x14ac:dyDescent="0.2">
      <c r="C511" s="21">
        <v>43851</v>
      </c>
      <c r="D511">
        <v>166.5</v>
      </c>
      <c r="E511">
        <v>3320.79</v>
      </c>
      <c r="F511">
        <v>29517.200000000001</v>
      </c>
      <c r="I511" s="95">
        <f t="shared" si="15"/>
        <v>-3.5906642728904536E-3</v>
      </c>
      <c r="J511" s="95">
        <f t="shared" si="14"/>
        <v>-2.6519542770646609E-3</v>
      </c>
      <c r="K511" s="37"/>
    </row>
    <row r="512" spans="3:11" x14ac:dyDescent="0.2">
      <c r="C512" s="21">
        <v>43852</v>
      </c>
      <c r="D512">
        <v>165.7</v>
      </c>
      <c r="E512">
        <v>3321.75</v>
      </c>
      <c r="F512">
        <v>24138.799999999999</v>
      </c>
      <c r="I512" s="95">
        <f t="shared" si="15"/>
        <v>-4.8048048048048297E-3</v>
      </c>
      <c r="J512" s="95">
        <f t="shared" si="14"/>
        <v>2.8908783753256451E-4</v>
      </c>
      <c r="K512" s="37"/>
    </row>
    <row r="513" spans="3:11" x14ac:dyDescent="0.2">
      <c r="C513" s="21">
        <v>43853</v>
      </c>
      <c r="D513">
        <v>166.72</v>
      </c>
      <c r="E513">
        <v>3325.54</v>
      </c>
      <c r="F513">
        <v>19680.8</v>
      </c>
      <c r="I513" s="95">
        <f t="shared" si="15"/>
        <v>6.1557030778516264E-3</v>
      </c>
      <c r="J513" s="95">
        <f t="shared" si="14"/>
        <v>1.1409648528637462E-3</v>
      </c>
      <c r="K513" s="37"/>
    </row>
    <row r="514" spans="3:11" x14ac:dyDescent="0.2">
      <c r="C514" s="21">
        <v>43854</v>
      </c>
      <c r="D514">
        <v>165.04</v>
      </c>
      <c r="E514">
        <v>3295.47</v>
      </c>
      <c r="F514">
        <v>24918.1</v>
      </c>
      <c r="I514" s="95">
        <f t="shared" si="15"/>
        <v>-1.0076775431861806E-2</v>
      </c>
      <c r="J514" s="95">
        <f t="shared" si="14"/>
        <v>-9.0421405245464381E-3</v>
      </c>
      <c r="K514" s="37"/>
    </row>
    <row r="515" spans="3:11" x14ac:dyDescent="0.2">
      <c r="C515" s="21">
        <v>43857</v>
      </c>
      <c r="D515">
        <v>162.28</v>
      </c>
      <c r="E515">
        <v>3243.63</v>
      </c>
      <c r="F515">
        <v>32078.1</v>
      </c>
      <c r="I515" s="95">
        <f t="shared" si="15"/>
        <v>-1.6723218613669322E-2</v>
      </c>
      <c r="J515" s="95">
        <f t="shared" si="14"/>
        <v>-1.5730684849202037E-2</v>
      </c>
      <c r="K515" s="37"/>
    </row>
    <row r="516" spans="3:11" x14ac:dyDescent="0.2">
      <c r="C516" s="21">
        <v>43858</v>
      </c>
      <c r="D516">
        <v>165.46</v>
      </c>
      <c r="E516">
        <v>3276.24</v>
      </c>
      <c r="F516">
        <v>24899.9</v>
      </c>
      <c r="I516" s="95">
        <f t="shared" si="15"/>
        <v>1.959576041409905E-2</v>
      </c>
      <c r="J516" s="95">
        <f t="shared" si="14"/>
        <v>1.0053551114029613E-2</v>
      </c>
      <c r="K516" s="37"/>
    </row>
    <row r="517" spans="3:11" x14ac:dyDescent="0.2">
      <c r="C517" s="21">
        <v>43859</v>
      </c>
      <c r="D517">
        <v>168.04</v>
      </c>
      <c r="E517">
        <v>3273.4</v>
      </c>
      <c r="F517">
        <v>35127.800000000003</v>
      </c>
      <c r="I517" s="95">
        <f t="shared" si="15"/>
        <v>1.5592892542003911E-2</v>
      </c>
      <c r="J517" s="95">
        <f t="shared" ref="J517:J580" si="16">E517/E516-1</f>
        <v>-8.6684736160957954E-4</v>
      </c>
      <c r="K517" s="37"/>
    </row>
    <row r="518" spans="3:11" x14ac:dyDescent="0.2">
      <c r="C518" s="21">
        <v>43860</v>
      </c>
      <c r="D518">
        <v>172.78</v>
      </c>
      <c r="E518">
        <v>3283.66</v>
      </c>
      <c r="F518">
        <v>51597.5</v>
      </c>
      <c r="I518" s="95">
        <f t="shared" ref="I518:I581" si="17">D518/D517-1</f>
        <v>2.8207569626279572E-2</v>
      </c>
      <c r="J518" s="95">
        <f t="shared" si="16"/>
        <v>3.1343557157694768E-3</v>
      </c>
      <c r="K518" s="37"/>
    </row>
    <row r="519" spans="3:11" x14ac:dyDescent="0.2">
      <c r="C519" s="21">
        <v>43861</v>
      </c>
      <c r="D519">
        <v>170.23</v>
      </c>
      <c r="E519">
        <v>3225.52</v>
      </c>
      <c r="F519">
        <v>36142.699999999997</v>
      </c>
      <c r="I519" s="95">
        <f t="shared" si="17"/>
        <v>-1.4758652621831292E-2</v>
      </c>
      <c r="J519" s="95">
        <f t="shared" si="16"/>
        <v>-1.7705852615678808E-2</v>
      </c>
      <c r="K519" s="37"/>
    </row>
    <row r="520" spans="3:11" x14ac:dyDescent="0.2">
      <c r="C520" s="21">
        <v>43864</v>
      </c>
      <c r="D520">
        <v>174.38</v>
      </c>
      <c r="E520">
        <v>3248.92</v>
      </c>
      <c r="F520">
        <v>30149.1</v>
      </c>
      <c r="I520" s="95">
        <f t="shared" si="17"/>
        <v>2.437878164835805E-2</v>
      </c>
      <c r="J520" s="95">
        <f t="shared" si="16"/>
        <v>7.2546442124061805E-3</v>
      </c>
      <c r="K520" s="37"/>
    </row>
    <row r="521" spans="3:11" x14ac:dyDescent="0.2">
      <c r="C521" s="21">
        <v>43865</v>
      </c>
      <c r="D521">
        <v>180.12</v>
      </c>
      <c r="E521">
        <v>3297.59</v>
      </c>
      <c r="F521">
        <v>36433.300000000003</v>
      </c>
      <c r="I521" s="95">
        <f t="shared" si="17"/>
        <v>3.2916618878311876E-2</v>
      </c>
      <c r="J521" s="95">
        <f t="shared" si="16"/>
        <v>1.4980362705145023E-2</v>
      </c>
      <c r="K521" s="37"/>
    </row>
    <row r="522" spans="3:11" x14ac:dyDescent="0.2">
      <c r="C522" s="21">
        <v>43866</v>
      </c>
      <c r="D522">
        <v>179.9</v>
      </c>
      <c r="E522">
        <v>3334.69</v>
      </c>
      <c r="F522">
        <v>39186.300000000003</v>
      </c>
      <c r="I522" s="95">
        <f t="shared" si="17"/>
        <v>-1.2214079502553821E-3</v>
      </c>
      <c r="J522" s="95">
        <f t="shared" si="16"/>
        <v>1.1250640619361318E-2</v>
      </c>
      <c r="K522" s="37"/>
    </row>
    <row r="523" spans="3:11" x14ac:dyDescent="0.2">
      <c r="C523" s="21">
        <v>43867</v>
      </c>
      <c r="D523">
        <v>183.63</v>
      </c>
      <c r="E523">
        <v>3345.78</v>
      </c>
      <c r="F523">
        <v>27751.4</v>
      </c>
      <c r="I523" s="95">
        <f t="shared" si="17"/>
        <v>2.0733740967203929E-2</v>
      </c>
      <c r="J523" s="95">
        <f t="shared" si="16"/>
        <v>3.3256464618900416E-3</v>
      </c>
      <c r="K523" s="37"/>
    </row>
    <row r="524" spans="3:11" x14ac:dyDescent="0.2">
      <c r="C524" s="21">
        <v>43868</v>
      </c>
      <c r="D524">
        <v>183.89</v>
      </c>
      <c r="E524">
        <v>3327.71</v>
      </c>
      <c r="F524">
        <v>33529.1</v>
      </c>
      <c r="I524" s="95">
        <f t="shared" si="17"/>
        <v>1.4158906496759549E-3</v>
      </c>
      <c r="J524" s="95">
        <f t="shared" si="16"/>
        <v>-5.4008332885008281E-3</v>
      </c>
      <c r="K524" s="37"/>
    </row>
    <row r="525" spans="3:11" x14ac:dyDescent="0.2">
      <c r="C525" s="21">
        <v>43871</v>
      </c>
      <c r="D525">
        <v>188.7</v>
      </c>
      <c r="E525">
        <v>3352.09</v>
      </c>
      <c r="F525">
        <v>35844.300000000003</v>
      </c>
      <c r="I525" s="95">
        <f t="shared" si="17"/>
        <v>2.6156941649899457E-2</v>
      </c>
      <c r="J525" s="95">
        <f t="shared" si="16"/>
        <v>7.3263595685921779E-3</v>
      </c>
      <c r="K525" s="37"/>
    </row>
    <row r="526" spans="3:11" x14ac:dyDescent="0.2">
      <c r="C526" s="21">
        <v>43872</v>
      </c>
      <c r="D526">
        <v>184.44</v>
      </c>
      <c r="E526">
        <v>3357.75</v>
      </c>
      <c r="F526">
        <v>53159.9</v>
      </c>
      <c r="I526" s="95">
        <f t="shared" si="17"/>
        <v>-2.2575516693163711E-2</v>
      </c>
      <c r="J526" s="95">
        <f t="shared" si="16"/>
        <v>1.6884988171557147E-3</v>
      </c>
      <c r="K526" s="37"/>
    </row>
    <row r="527" spans="3:11" x14ac:dyDescent="0.2">
      <c r="C527" s="21">
        <v>43873</v>
      </c>
      <c r="D527">
        <v>184.71</v>
      </c>
      <c r="E527">
        <v>3379.45</v>
      </c>
      <c r="F527">
        <v>47062.9</v>
      </c>
      <c r="I527" s="95">
        <f t="shared" si="17"/>
        <v>1.463890696161485E-3</v>
      </c>
      <c r="J527" s="95">
        <f t="shared" si="16"/>
        <v>6.4626610081155444E-3</v>
      </c>
      <c r="K527" s="37"/>
    </row>
    <row r="528" spans="3:11" x14ac:dyDescent="0.2">
      <c r="C528" s="21">
        <v>43874</v>
      </c>
      <c r="D528">
        <v>183.71</v>
      </c>
      <c r="E528">
        <v>3373.94</v>
      </c>
      <c r="F528">
        <v>35295.800000000003</v>
      </c>
      <c r="I528" s="95">
        <f t="shared" si="17"/>
        <v>-5.4138920469926077E-3</v>
      </c>
      <c r="J528" s="95">
        <f t="shared" si="16"/>
        <v>-1.6304428235363044E-3</v>
      </c>
      <c r="K528" s="37"/>
    </row>
    <row r="529" spans="3:11" x14ac:dyDescent="0.2">
      <c r="C529" s="21">
        <v>43875</v>
      </c>
      <c r="D529">
        <v>185.35</v>
      </c>
      <c r="E529">
        <v>3380.16</v>
      </c>
      <c r="F529">
        <v>23149.5</v>
      </c>
      <c r="I529" s="95">
        <f t="shared" si="17"/>
        <v>8.9271133852266704E-3</v>
      </c>
      <c r="J529" s="95">
        <f t="shared" si="16"/>
        <v>1.8435419717006685E-3</v>
      </c>
      <c r="K529" s="37"/>
    </row>
    <row r="530" spans="3:11" x14ac:dyDescent="0.2">
      <c r="C530" s="21">
        <v>43878</v>
      </c>
      <c r="D530">
        <v>185.35</v>
      </c>
      <c r="E530">
        <v>3380.16</v>
      </c>
      <c r="F530" t="e">
        <v>#N/A</v>
      </c>
      <c r="I530" s="95">
        <f t="shared" si="17"/>
        <v>0</v>
      </c>
      <c r="J530" s="95">
        <f t="shared" si="16"/>
        <v>0</v>
      </c>
      <c r="K530" s="37"/>
    </row>
    <row r="531" spans="3:11" x14ac:dyDescent="0.2">
      <c r="C531" s="21">
        <v>43879</v>
      </c>
      <c r="D531">
        <v>187.23</v>
      </c>
      <c r="E531">
        <v>3370.29</v>
      </c>
      <c r="F531">
        <v>27853.1</v>
      </c>
      <c r="I531" s="95">
        <f t="shared" si="17"/>
        <v>1.0142972754248802E-2</v>
      </c>
      <c r="J531" s="95">
        <f t="shared" si="16"/>
        <v>-2.9199801192842934E-3</v>
      </c>
      <c r="K531" s="37"/>
    </row>
    <row r="532" spans="3:11" x14ac:dyDescent="0.2">
      <c r="C532" s="21">
        <v>43880</v>
      </c>
      <c r="D532">
        <v>187.28</v>
      </c>
      <c r="E532">
        <v>3386.15</v>
      </c>
      <c r="F532">
        <v>29997.5</v>
      </c>
      <c r="I532" s="95">
        <f t="shared" si="17"/>
        <v>2.6705122042414153E-4</v>
      </c>
      <c r="J532" s="95">
        <f t="shared" si="16"/>
        <v>4.7058265015771372E-3</v>
      </c>
      <c r="K532" s="37"/>
    </row>
    <row r="533" spans="3:11" x14ac:dyDescent="0.2">
      <c r="C533" s="21">
        <v>43881</v>
      </c>
      <c r="D533">
        <v>184.42</v>
      </c>
      <c r="E533">
        <v>3373.23</v>
      </c>
      <c r="F533">
        <v>36862.400000000001</v>
      </c>
      <c r="I533" s="95">
        <f t="shared" si="17"/>
        <v>-1.5271251601879587E-2</v>
      </c>
      <c r="J533" s="95">
        <f t="shared" si="16"/>
        <v>-3.8155427255142094E-3</v>
      </c>
      <c r="K533" s="37"/>
    </row>
    <row r="534" spans="3:11" x14ac:dyDescent="0.2">
      <c r="C534" s="21">
        <v>43882</v>
      </c>
      <c r="D534">
        <v>178.59</v>
      </c>
      <c r="E534">
        <v>3337.75</v>
      </c>
      <c r="F534">
        <v>48600.4</v>
      </c>
      <c r="I534" s="95">
        <f t="shared" si="17"/>
        <v>-3.1612623359722258E-2</v>
      </c>
      <c r="J534" s="95">
        <f t="shared" si="16"/>
        <v>-1.0518108756295885E-2</v>
      </c>
      <c r="K534" s="37"/>
    </row>
    <row r="535" spans="3:11" x14ac:dyDescent="0.2">
      <c r="C535" s="21">
        <v>43885</v>
      </c>
      <c r="D535">
        <v>170.89</v>
      </c>
      <c r="E535">
        <v>3225.89</v>
      </c>
      <c r="F535">
        <v>68311.100000000006</v>
      </c>
      <c r="I535" s="95">
        <f t="shared" si="17"/>
        <v>-4.311551598633756E-2</v>
      </c>
      <c r="J535" s="95">
        <f t="shared" si="16"/>
        <v>-3.3513594487304399E-2</v>
      </c>
      <c r="K535" s="37"/>
    </row>
    <row r="536" spans="3:11" x14ac:dyDescent="0.2">
      <c r="C536" s="21">
        <v>43886</v>
      </c>
      <c r="D536">
        <v>168.07</v>
      </c>
      <c r="E536">
        <v>3128.21</v>
      </c>
      <c r="F536">
        <v>68073.3</v>
      </c>
      <c r="I536" s="95">
        <f t="shared" si="17"/>
        <v>-1.6501843291005902E-2</v>
      </c>
      <c r="J536" s="95">
        <f t="shared" si="16"/>
        <v>-3.0280015747592093E-2</v>
      </c>
      <c r="K536" s="37"/>
    </row>
    <row r="537" spans="3:11" x14ac:dyDescent="0.2">
      <c r="C537" s="21">
        <v>43887</v>
      </c>
      <c r="D537">
        <v>170.17</v>
      </c>
      <c r="E537">
        <v>3116.39</v>
      </c>
      <c r="F537">
        <v>56387.1</v>
      </c>
      <c r="I537" s="95">
        <f t="shared" si="17"/>
        <v>1.2494793835901685E-2</v>
      </c>
      <c r="J537" s="95">
        <f t="shared" si="16"/>
        <v>-3.7785187055856539E-3</v>
      </c>
      <c r="K537" s="37"/>
    </row>
    <row r="538" spans="3:11" x14ac:dyDescent="0.2">
      <c r="C538" s="21">
        <v>43888</v>
      </c>
      <c r="D538">
        <v>158.18</v>
      </c>
      <c r="E538">
        <v>2978.76</v>
      </c>
      <c r="F538">
        <v>93174.9</v>
      </c>
      <c r="I538" s="95">
        <f t="shared" si="17"/>
        <v>-7.0458952811893849E-2</v>
      </c>
      <c r="J538" s="95">
        <f t="shared" si="16"/>
        <v>-4.4163278665378725E-2</v>
      </c>
      <c r="K538" s="37"/>
    </row>
    <row r="539" spans="3:11" x14ac:dyDescent="0.2">
      <c r="C539" s="21">
        <v>43889</v>
      </c>
      <c r="D539">
        <v>162.01</v>
      </c>
      <c r="E539">
        <v>2954.22</v>
      </c>
      <c r="F539">
        <v>97073.600000000006</v>
      </c>
      <c r="I539" s="95">
        <f t="shared" si="17"/>
        <v>2.4212921987609048E-2</v>
      </c>
      <c r="J539" s="95">
        <f t="shared" si="16"/>
        <v>-8.2383273576925875E-3</v>
      </c>
      <c r="K539" s="37"/>
    </row>
    <row r="540" spans="3:11" x14ac:dyDescent="0.2">
      <c r="C540" s="21">
        <v>43892</v>
      </c>
      <c r="D540">
        <v>172.79</v>
      </c>
      <c r="E540">
        <v>3090.23</v>
      </c>
      <c r="F540">
        <v>71030.8</v>
      </c>
      <c r="I540" s="95">
        <f t="shared" si="17"/>
        <v>6.6539102524535432E-2</v>
      </c>
      <c r="J540" s="95">
        <f t="shared" si="16"/>
        <v>4.6039225243888371E-2</v>
      </c>
      <c r="K540" s="37"/>
    </row>
    <row r="541" spans="3:11" x14ac:dyDescent="0.2">
      <c r="C541" s="21">
        <v>43893</v>
      </c>
      <c r="D541">
        <v>164.51</v>
      </c>
      <c r="E541">
        <v>3003.37</v>
      </c>
      <c r="F541">
        <v>71677</v>
      </c>
      <c r="I541" s="95">
        <f t="shared" si="17"/>
        <v>-4.7919439782394768E-2</v>
      </c>
      <c r="J541" s="95">
        <f t="shared" si="16"/>
        <v>-2.8107940185681968E-2</v>
      </c>
      <c r="K541" s="37"/>
    </row>
    <row r="542" spans="3:11" x14ac:dyDescent="0.2">
      <c r="C542" s="21">
        <v>43894</v>
      </c>
      <c r="D542">
        <v>170.55</v>
      </c>
      <c r="E542">
        <v>3130.12</v>
      </c>
      <c r="F542">
        <v>49814.400000000001</v>
      </c>
      <c r="I542" s="95">
        <f t="shared" si="17"/>
        <v>3.6715093307397861E-2</v>
      </c>
      <c r="J542" s="95">
        <f t="shared" si="16"/>
        <v>4.2202592421180185E-2</v>
      </c>
      <c r="K542" s="37"/>
    </row>
    <row r="543" spans="3:11" x14ac:dyDescent="0.2">
      <c r="C543" s="21">
        <v>43895</v>
      </c>
      <c r="D543">
        <v>166.27</v>
      </c>
      <c r="E543">
        <v>3023.94</v>
      </c>
      <c r="F543">
        <v>47817.3</v>
      </c>
      <c r="I543" s="95">
        <f t="shared" si="17"/>
        <v>-2.5095279976546481E-2</v>
      </c>
      <c r="J543" s="95">
        <f t="shared" si="16"/>
        <v>-3.3922022158894838E-2</v>
      </c>
      <c r="K543" s="37"/>
    </row>
    <row r="544" spans="3:11" x14ac:dyDescent="0.2">
      <c r="C544" s="21">
        <v>43896</v>
      </c>
      <c r="D544">
        <v>161.57</v>
      </c>
      <c r="E544">
        <v>2972.37</v>
      </c>
      <c r="F544">
        <v>72821.100000000006</v>
      </c>
      <c r="I544" s="95">
        <f t="shared" si="17"/>
        <v>-2.8267276117158957E-2</v>
      </c>
      <c r="J544" s="95">
        <f t="shared" si="16"/>
        <v>-1.7053909799797706E-2</v>
      </c>
      <c r="K544" s="37"/>
    </row>
    <row r="545" spans="3:11" x14ac:dyDescent="0.2">
      <c r="C545" s="21">
        <v>43899</v>
      </c>
      <c r="D545">
        <v>150.62</v>
      </c>
      <c r="E545">
        <v>2746.56</v>
      </c>
      <c r="F545">
        <v>70419.3</v>
      </c>
      <c r="I545" s="95">
        <f t="shared" si="17"/>
        <v>-6.7772482515318422E-2</v>
      </c>
      <c r="J545" s="95">
        <f t="shared" si="16"/>
        <v>-7.5969680759797709E-2</v>
      </c>
      <c r="K545" s="37"/>
    </row>
    <row r="546" spans="3:11" x14ac:dyDescent="0.2">
      <c r="C546" s="21">
        <v>43900</v>
      </c>
      <c r="D546">
        <v>160.91999999999999</v>
      </c>
      <c r="E546">
        <v>2882.23</v>
      </c>
      <c r="F546">
        <v>65354.400000000001</v>
      </c>
      <c r="I546" s="95">
        <f t="shared" si="17"/>
        <v>6.8384012747310985E-2</v>
      </c>
      <c r="J546" s="95">
        <f t="shared" si="16"/>
        <v>4.9396335780030221E-2</v>
      </c>
      <c r="K546" s="37"/>
    </row>
    <row r="547" spans="3:11" x14ac:dyDescent="0.2">
      <c r="C547" s="21">
        <v>43901</v>
      </c>
      <c r="D547">
        <v>153.63</v>
      </c>
      <c r="E547">
        <v>2741.38</v>
      </c>
      <c r="F547">
        <v>56504.3</v>
      </c>
      <c r="I547" s="95">
        <f t="shared" si="17"/>
        <v>-4.5302013422818699E-2</v>
      </c>
      <c r="J547" s="95">
        <f t="shared" si="16"/>
        <v>-4.8868410917935035E-2</v>
      </c>
      <c r="K547" s="37"/>
    </row>
    <row r="548" spans="3:11" x14ac:dyDescent="0.2">
      <c r="C548" s="21">
        <v>43902</v>
      </c>
      <c r="D548">
        <v>139.06</v>
      </c>
      <c r="E548">
        <v>2480.64</v>
      </c>
      <c r="F548">
        <v>93226.4</v>
      </c>
      <c r="I548" s="95">
        <f t="shared" si="17"/>
        <v>-9.4838247738071924E-2</v>
      </c>
      <c r="J548" s="95">
        <f t="shared" si="16"/>
        <v>-9.5112680474797484E-2</v>
      </c>
      <c r="K548" s="37"/>
    </row>
    <row r="549" spans="3:11" x14ac:dyDescent="0.2">
      <c r="C549" s="21">
        <v>43903</v>
      </c>
      <c r="D549">
        <v>158.83000000000001</v>
      </c>
      <c r="E549">
        <v>2711.02</v>
      </c>
      <c r="F549">
        <v>92727.4</v>
      </c>
      <c r="I549" s="95">
        <f t="shared" si="17"/>
        <v>0.14216884797928953</v>
      </c>
      <c r="J549" s="95">
        <f t="shared" si="16"/>
        <v>9.2871194530443901E-2</v>
      </c>
      <c r="K549" s="37"/>
    </row>
    <row r="550" spans="3:11" x14ac:dyDescent="0.2">
      <c r="C550" s="21">
        <v>43906</v>
      </c>
      <c r="D550">
        <v>135.41999999999999</v>
      </c>
      <c r="E550">
        <v>2386.13</v>
      </c>
      <c r="F550">
        <v>87905.9</v>
      </c>
      <c r="I550" s="95">
        <f t="shared" si="17"/>
        <v>-0.14739029150664251</v>
      </c>
      <c r="J550" s="95">
        <f t="shared" si="16"/>
        <v>-0.11984050283657066</v>
      </c>
      <c r="K550" s="37"/>
    </row>
    <row r="551" spans="3:11" x14ac:dyDescent="0.2">
      <c r="C551" s="21">
        <v>43907</v>
      </c>
      <c r="D551">
        <v>146.57</v>
      </c>
      <c r="E551">
        <v>2529.19</v>
      </c>
      <c r="F551">
        <v>81059.8</v>
      </c>
      <c r="I551" s="95">
        <f t="shared" si="17"/>
        <v>8.2336434795451163E-2</v>
      </c>
      <c r="J551" s="95">
        <f t="shared" si="16"/>
        <v>5.9954822243549089E-2</v>
      </c>
      <c r="K551" s="37"/>
    </row>
    <row r="552" spans="3:11" x14ac:dyDescent="0.2">
      <c r="C552" s="21">
        <v>43908</v>
      </c>
      <c r="D552">
        <v>140.4</v>
      </c>
      <c r="E552">
        <v>2398.1</v>
      </c>
      <c r="F552">
        <v>81593.2</v>
      </c>
      <c r="I552" s="95">
        <f t="shared" si="17"/>
        <v>-4.209592686088548E-2</v>
      </c>
      <c r="J552" s="95">
        <f t="shared" si="16"/>
        <v>-5.1830823307066787E-2</v>
      </c>
      <c r="K552" s="37"/>
    </row>
    <row r="553" spans="3:11" x14ac:dyDescent="0.2">
      <c r="C553" s="21">
        <v>43909</v>
      </c>
      <c r="D553">
        <v>142.71</v>
      </c>
      <c r="E553">
        <v>2409.39</v>
      </c>
      <c r="F553">
        <v>85922.7</v>
      </c>
      <c r="I553" s="95">
        <f t="shared" si="17"/>
        <v>1.6452991452991395E-2</v>
      </c>
      <c r="J553" s="95">
        <f t="shared" si="16"/>
        <v>4.707893749218206E-3</v>
      </c>
      <c r="K553" s="37"/>
    </row>
    <row r="554" spans="3:11" x14ac:dyDescent="0.2">
      <c r="C554" s="21">
        <v>43910</v>
      </c>
      <c r="D554">
        <v>137.35</v>
      </c>
      <c r="E554">
        <v>2304.92</v>
      </c>
      <c r="F554">
        <v>84866.2</v>
      </c>
      <c r="I554" s="95">
        <f t="shared" si="17"/>
        <v>-3.7558685446009488E-2</v>
      </c>
      <c r="J554" s="95">
        <f t="shared" si="16"/>
        <v>-4.3359522534749395E-2</v>
      </c>
      <c r="K554" s="37"/>
    </row>
    <row r="555" spans="3:11" x14ac:dyDescent="0.2">
      <c r="C555" s="21">
        <v>43913</v>
      </c>
      <c r="D555">
        <v>135.97999999999999</v>
      </c>
      <c r="E555">
        <v>2237.4</v>
      </c>
      <c r="F555">
        <v>78975.199999999997</v>
      </c>
      <c r="I555" s="95">
        <f t="shared" si="17"/>
        <v>-9.9745176556244042E-3</v>
      </c>
      <c r="J555" s="95">
        <f t="shared" si="16"/>
        <v>-2.9293858355170621E-2</v>
      </c>
      <c r="K555" s="37"/>
    </row>
    <row r="556" spans="3:11" x14ac:dyDescent="0.2">
      <c r="C556" s="21">
        <v>43914</v>
      </c>
      <c r="D556">
        <v>148.34</v>
      </c>
      <c r="E556">
        <v>2447.33</v>
      </c>
      <c r="F556">
        <v>82516.800000000003</v>
      </c>
      <c r="I556" s="95">
        <f t="shared" si="17"/>
        <v>9.0895719958817622E-2</v>
      </c>
      <c r="J556" s="95">
        <f t="shared" si="16"/>
        <v>9.3827657101993367E-2</v>
      </c>
      <c r="K556" s="37"/>
    </row>
    <row r="557" spans="3:11" x14ac:dyDescent="0.2">
      <c r="C557" s="21">
        <v>43915</v>
      </c>
      <c r="D557">
        <v>146.91999999999999</v>
      </c>
      <c r="E557">
        <v>2475.56</v>
      </c>
      <c r="F557">
        <v>75638.3</v>
      </c>
      <c r="I557" s="95">
        <f t="shared" si="17"/>
        <v>-9.5726034784954228E-3</v>
      </c>
      <c r="J557" s="95">
        <f t="shared" si="16"/>
        <v>1.1535019797084933E-2</v>
      </c>
      <c r="K557" s="37"/>
    </row>
    <row r="558" spans="3:11" x14ac:dyDescent="0.2">
      <c r="C558" s="21">
        <v>43916</v>
      </c>
      <c r="D558">
        <v>156.11000000000001</v>
      </c>
      <c r="E558">
        <v>2630.07</v>
      </c>
      <c r="F558">
        <v>64694.400000000001</v>
      </c>
      <c r="I558" s="95">
        <f t="shared" si="17"/>
        <v>6.2551048189491087E-2</v>
      </c>
      <c r="J558" s="95">
        <f t="shared" si="16"/>
        <v>6.2414160836336219E-2</v>
      </c>
      <c r="K558" s="37"/>
    </row>
    <row r="559" spans="3:11" x14ac:dyDescent="0.2">
      <c r="C559" s="21">
        <v>43917</v>
      </c>
      <c r="D559">
        <v>149.69999999999999</v>
      </c>
      <c r="E559">
        <v>2541.4699999999998</v>
      </c>
      <c r="F559">
        <v>57042.3</v>
      </c>
      <c r="I559" s="95">
        <f t="shared" si="17"/>
        <v>-4.1060790468259722E-2</v>
      </c>
      <c r="J559" s="95">
        <f t="shared" si="16"/>
        <v>-3.36873163071707E-2</v>
      </c>
      <c r="K559" s="37"/>
    </row>
    <row r="560" spans="3:11" x14ac:dyDescent="0.2">
      <c r="C560" s="21">
        <v>43920</v>
      </c>
      <c r="D560">
        <v>160.22999999999999</v>
      </c>
      <c r="E560">
        <v>2626.65</v>
      </c>
      <c r="F560">
        <v>63420.3</v>
      </c>
      <c r="I560" s="95">
        <f t="shared" si="17"/>
        <v>7.0340681362725421E-2</v>
      </c>
      <c r="J560" s="95">
        <f t="shared" si="16"/>
        <v>3.3516035994916482E-2</v>
      </c>
      <c r="K560" s="37"/>
    </row>
    <row r="561" spans="3:11" x14ac:dyDescent="0.2">
      <c r="C561" s="21">
        <v>43921</v>
      </c>
      <c r="D561">
        <v>157.71</v>
      </c>
      <c r="E561">
        <v>2584.59</v>
      </c>
      <c r="F561">
        <v>77927.199999999997</v>
      </c>
      <c r="I561" s="95">
        <f t="shared" si="17"/>
        <v>-1.5727391874180707E-2</v>
      </c>
      <c r="J561" s="95">
        <f t="shared" si="16"/>
        <v>-1.60127919593398E-2</v>
      </c>
      <c r="K561" s="37"/>
    </row>
    <row r="562" spans="3:11" x14ac:dyDescent="0.2">
      <c r="C562" s="21">
        <v>43922</v>
      </c>
      <c r="D562">
        <v>152.11000000000001</v>
      </c>
      <c r="E562">
        <v>2470.5</v>
      </c>
      <c r="F562">
        <v>57969.9</v>
      </c>
      <c r="I562" s="95">
        <f t="shared" si="17"/>
        <v>-3.550821127385706E-2</v>
      </c>
      <c r="J562" s="95">
        <f t="shared" si="16"/>
        <v>-4.4142397827121593E-2</v>
      </c>
      <c r="K562" s="37"/>
    </row>
    <row r="563" spans="3:11" x14ac:dyDescent="0.2">
      <c r="C563" s="21">
        <v>43923</v>
      </c>
      <c r="D563">
        <v>155.26</v>
      </c>
      <c r="E563">
        <v>2526.9</v>
      </c>
      <c r="F563">
        <v>49630.7</v>
      </c>
      <c r="I563" s="95">
        <f t="shared" si="17"/>
        <v>2.0708697653014196E-2</v>
      </c>
      <c r="J563" s="95">
        <f t="shared" si="16"/>
        <v>2.2829386763812964E-2</v>
      </c>
      <c r="K563" s="37"/>
    </row>
    <row r="564" spans="3:11" x14ac:dyDescent="0.2">
      <c r="C564" s="21">
        <v>43924</v>
      </c>
      <c r="D564">
        <v>153.83000000000001</v>
      </c>
      <c r="E564">
        <v>2488.65</v>
      </c>
      <c r="F564">
        <v>41243.300000000003</v>
      </c>
      <c r="I564" s="95">
        <f t="shared" si="17"/>
        <v>-9.210356820816501E-3</v>
      </c>
      <c r="J564" s="95">
        <f t="shared" si="16"/>
        <v>-1.5137124539950086E-2</v>
      </c>
      <c r="K564" s="37"/>
    </row>
    <row r="565" spans="3:11" x14ac:dyDescent="0.2">
      <c r="C565" s="21">
        <v>43927</v>
      </c>
      <c r="D565">
        <v>165.27</v>
      </c>
      <c r="E565">
        <v>2663.68</v>
      </c>
      <c r="F565">
        <v>67111.7</v>
      </c>
      <c r="I565" s="95">
        <f t="shared" si="17"/>
        <v>7.4367808619905107E-2</v>
      </c>
      <c r="J565" s="95">
        <f t="shared" si="16"/>
        <v>7.0331304120707872E-2</v>
      </c>
      <c r="K565" s="37"/>
    </row>
    <row r="566" spans="3:11" x14ac:dyDescent="0.2">
      <c r="C566" s="21">
        <v>43928</v>
      </c>
      <c r="D566">
        <v>163.49</v>
      </c>
      <c r="E566">
        <v>2659.41</v>
      </c>
      <c r="F566">
        <v>62769</v>
      </c>
      <c r="I566" s="95">
        <f t="shared" si="17"/>
        <v>-1.0770254734676632E-2</v>
      </c>
      <c r="J566" s="95">
        <f t="shared" si="16"/>
        <v>-1.6030454108602044E-3</v>
      </c>
      <c r="K566" s="37"/>
    </row>
    <row r="567" spans="3:11" x14ac:dyDescent="0.2">
      <c r="C567" s="21">
        <v>43929</v>
      </c>
      <c r="D567">
        <v>165.13</v>
      </c>
      <c r="E567">
        <v>2749.98</v>
      </c>
      <c r="F567">
        <v>48318.2</v>
      </c>
      <c r="I567" s="95">
        <f t="shared" si="17"/>
        <v>1.003119456847501E-2</v>
      </c>
      <c r="J567" s="95">
        <f t="shared" si="16"/>
        <v>3.4056426049386967E-2</v>
      </c>
      <c r="K567" s="37"/>
    </row>
    <row r="568" spans="3:11" x14ac:dyDescent="0.2">
      <c r="C568" s="21">
        <v>43930</v>
      </c>
      <c r="D568">
        <v>165.14</v>
      </c>
      <c r="E568">
        <v>2789.82</v>
      </c>
      <c r="F568">
        <v>51431.8</v>
      </c>
      <c r="I568" s="95">
        <f t="shared" si="17"/>
        <v>6.0558347968253656E-5</v>
      </c>
      <c r="J568" s="95">
        <f t="shared" si="16"/>
        <v>1.448737809002254E-2</v>
      </c>
      <c r="K568" s="37"/>
    </row>
    <row r="569" spans="3:11" x14ac:dyDescent="0.2">
      <c r="C569" s="21">
        <v>43931</v>
      </c>
      <c r="D569">
        <v>165.14</v>
      </c>
      <c r="E569">
        <v>2789.82</v>
      </c>
      <c r="F569" t="e">
        <v>#N/A</v>
      </c>
      <c r="I569" s="95">
        <f t="shared" si="17"/>
        <v>0</v>
      </c>
      <c r="J569" s="95">
        <f t="shared" si="16"/>
        <v>0</v>
      </c>
      <c r="K569" s="37"/>
    </row>
    <row r="570" spans="3:11" x14ac:dyDescent="0.2">
      <c r="C570" s="21">
        <v>43934</v>
      </c>
      <c r="D570">
        <v>165.51</v>
      </c>
      <c r="E570">
        <v>2761.63</v>
      </c>
      <c r="F570">
        <v>41905.300000000003</v>
      </c>
      <c r="I570" s="95">
        <f t="shared" si="17"/>
        <v>2.2405231924427227E-3</v>
      </c>
      <c r="J570" s="95">
        <f t="shared" si="16"/>
        <v>-1.0104594561656355E-2</v>
      </c>
      <c r="K570" s="37"/>
    </row>
    <row r="571" spans="3:11" x14ac:dyDescent="0.2">
      <c r="C571" s="21">
        <v>43935</v>
      </c>
      <c r="D571">
        <v>173.7</v>
      </c>
      <c r="E571">
        <v>2846.06</v>
      </c>
      <c r="F571">
        <v>52874.3</v>
      </c>
      <c r="I571" s="95">
        <f t="shared" si="17"/>
        <v>4.948341489940189E-2</v>
      </c>
      <c r="J571" s="95">
        <f t="shared" si="16"/>
        <v>3.0572524197665762E-2</v>
      </c>
      <c r="K571" s="37"/>
    </row>
    <row r="572" spans="3:11" x14ac:dyDescent="0.2">
      <c r="C572" s="21">
        <v>43936</v>
      </c>
      <c r="D572">
        <v>171.88</v>
      </c>
      <c r="E572">
        <v>2783.36</v>
      </c>
      <c r="F572">
        <v>40940.800000000003</v>
      </c>
      <c r="I572" s="95">
        <f t="shared" si="17"/>
        <v>-1.0477835348301601E-2</v>
      </c>
      <c r="J572" s="95">
        <f t="shared" si="16"/>
        <v>-2.2030456139364496E-2</v>
      </c>
      <c r="K572" s="37"/>
    </row>
    <row r="573" spans="3:11" x14ac:dyDescent="0.2">
      <c r="C573" s="21">
        <v>43937</v>
      </c>
      <c r="D573">
        <v>177.04</v>
      </c>
      <c r="E573">
        <v>2799.55</v>
      </c>
      <c r="F573">
        <v>50479.6</v>
      </c>
      <c r="I573" s="95">
        <f t="shared" si="17"/>
        <v>3.0020944845240871E-2</v>
      </c>
      <c r="J573" s="95">
        <f t="shared" si="16"/>
        <v>5.8167107381006389E-3</v>
      </c>
      <c r="K573" s="37"/>
    </row>
    <row r="574" spans="3:11" x14ac:dyDescent="0.2">
      <c r="C574" s="21">
        <v>43938</v>
      </c>
      <c r="D574">
        <v>178.6</v>
      </c>
      <c r="E574">
        <v>2874.56</v>
      </c>
      <c r="F574">
        <v>52765.599999999999</v>
      </c>
      <c r="I574" s="95">
        <f t="shared" si="17"/>
        <v>8.8115680072300417E-3</v>
      </c>
      <c r="J574" s="95">
        <f t="shared" si="16"/>
        <v>2.6793591827257934E-2</v>
      </c>
      <c r="K574" s="37"/>
    </row>
    <row r="575" spans="3:11" x14ac:dyDescent="0.2">
      <c r="C575" s="21">
        <v>43941</v>
      </c>
      <c r="D575">
        <v>175.06</v>
      </c>
      <c r="E575">
        <v>2823.16</v>
      </c>
      <c r="F575">
        <v>36669.599999999999</v>
      </c>
      <c r="I575" s="95">
        <f t="shared" si="17"/>
        <v>-1.9820828667413193E-2</v>
      </c>
      <c r="J575" s="95">
        <f t="shared" si="16"/>
        <v>-1.7880997439608137E-2</v>
      </c>
      <c r="K575" s="37"/>
    </row>
    <row r="576" spans="3:11" x14ac:dyDescent="0.2">
      <c r="C576" s="21">
        <v>43942</v>
      </c>
      <c r="D576">
        <v>167.82</v>
      </c>
      <c r="E576">
        <v>2736.56</v>
      </c>
      <c r="F576">
        <v>56203.8</v>
      </c>
      <c r="I576" s="95">
        <f t="shared" si="17"/>
        <v>-4.1357248943219571E-2</v>
      </c>
      <c r="J576" s="95">
        <f t="shared" si="16"/>
        <v>-3.0674846625766805E-2</v>
      </c>
      <c r="K576" s="37"/>
    </row>
    <row r="577" spans="3:11" x14ac:dyDescent="0.2">
      <c r="C577" s="21">
        <v>43943</v>
      </c>
      <c r="D577">
        <v>173.52</v>
      </c>
      <c r="E577">
        <v>2799.31</v>
      </c>
      <c r="F577">
        <v>34651.599999999999</v>
      </c>
      <c r="I577" s="95">
        <f t="shared" si="17"/>
        <v>3.3964962459778425E-2</v>
      </c>
      <c r="J577" s="95">
        <f t="shared" si="16"/>
        <v>2.2930248194813929E-2</v>
      </c>
      <c r="K577" s="37"/>
    </row>
    <row r="578" spans="3:11" x14ac:dyDescent="0.2">
      <c r="C578" s="21">
        <v>43944</v>
      </c>
      <c r="D578">
        <v>171.42</v>
      </c>
      <c r="E578">
        <v>2797.8</v>
      </c>
      <c r="F578">
        <v>32790.800000000003</v>
      </c>
      <c r="I578" s="95">
        <f t="shared" si="17"/>
        <v>-1.210235131396975E-2</v>
      </c>
      <c r="J578" s="95">
        <f t="shared" si="16"/>
        <v>-5.3941864245110605E-4</v>
      </c>
      <c r="K578" s="37"/>
    </row>
    <row r="579" spans="3:11" x14ac:dyDescent="0.2">
      <c r="C579" s="21">
        <v>43945</v>
      </c>
      <c r="D579">
        <v>174.55</v>
      </c>
      <c r="E579">
        <v>2836.74</v>
      </c>
      <c r="F579">
        <v>34305.300000000003</v>
      </c>
      <c r="I579" s="95">
        <f t="shared" si="17"/>
        <v>1.8259246295648346E-2</v>
      </c>
      <c r="J579" s="95">
        <f t="shared" si="16"/>
        <v>1.3918078490242181E-2</v>
      </c>
      <c r="K579" s="37"/>
    </row>
    <row r="580" spans="3:11" x14ac:dyDescent="0.2">
      <c r="C580" s="21">
        <v>43948</v>
      </c>
      <c r="D580">
        <v>174.05</v>
      </c>
      <c r="E580">
        <v>2878.48</v>
      </c>
      <c r="F580">
        <v>33194.400000000001</v>
      </c>
      <c r="I580" s="95">
        <f t="shared" si="17"/>
        <v>-2.864508736751592E-3</v>
      </c>
      <c r="J580" s="95">
        <f t="shared" si="16"/>
        <v>1.4714073196697708E-2</v>
      </c>
      <c r="K580" s="37"/>
    </row>
    <row r="581" spans="3:11" x14ac:dyDescent="0.2">
      <c r="C581" s="21">
        <v>43949</v>
      </c>
      <c r="D581">
        <v>169.81</v>
      </c>
      <c r="E581">
        <v>2863.39</v>
      </c>
      <c r="F581">
        <v>34392.699999999997</v>
      </c>
      <c r="I581" s="95">
        <f t="shared" si="17"/>
        <v>-2.4360815857512264E-2</v>
      </c>
      <c r="J581" s="95">
        <f t="shared" ref="J581:J644" si="18">E581/E580-1</f>
        <v>-5.2423501292349073E-3</v>
      </c>
      <c r="K581" s="37"/>
    </row>
    <row r="582" spans="3:11" x14ac:dyDescent="0.2">
      <c r="C582" s="21">
        <v>43950</v>
      </c>
      <c r="D582">
        <v>177.43</v>
      </c>
      <c r="E582">
        <v>2939.51</v>
      </c>
      <c r="F582">
        <v>51286.6</v>
      </c>
      <c r="I582" s="95">
        <f t="shared" ref="I582:I645" si="19">D582/D581-1</f>
        <v>4.4873682350862865E-2</v>
      </c>
      <c r="J582" s="95">
        <f t="shared" si="18"/>
        <v>2.6583874358714787E-2</v>
      </c>
      <c r="K582" s="37"/>
    </row>
    <row r="583" spans="3:11" x14ac:dyDescent="0.2">
      <c r="C583" s="21">
        <v>43951</v>
      </c>
      <c r="D583">
        <v>179.21</v>
      </c>
      <c r="E583">
        <v>2912.43</v>
      </c>
      <c r="F583">
        <v>53875.9</v>
      </c>
      <c r="I583" s="95">
        <f t="shared" si="19"/>
        <v>1.0032125345206477E-2</v>
      </c>
      <c r="J583" s="95">
        <f t="shared" si="18"/>
        <v>-9.2124197570344624E-3</v>
      </c>
      <c r="K583" s="37"/>
    </row>
    <row r="584" spans="3:11" x14ac:dyDescent="0.2">
      <c r="C584" s="21">
        <v>43952</v>
      </c>
      <c r="D584">
        <v>174.57</v>
      </c>
      <c r="E584">
        <v>2830.71</v>
      </c>
      <c r="F584">
        <v>39370.5</v>
      </c>
      <c r="I584" s="95">
        <f t="shared" si="19"/>
        <v>-2.589141230958103E-2</v>
      </c>
      <c r="J584" s="95">
        <f t="shared" si="18"/>
        <v>-2.8059043479156554E-2</v>
      </c>
      <c r="K584" s="37"/>
    </row>
    <row r="585" spans="3:11" x14ac:dyDescent="0.2">
      <c r="C585" s="21">
        <v>43955</v>
      </c>
      <c r="D585">
        <v>178.84</v>
      </c>
      <c r="E585">
        <v>2842.74</v>
      </c>
      <c r="F585">
        <v>30372.9</v>
      </c>
      <c r="I585" s="95">
        <f t="shared" si="19"/>
        <v>2.4460101964827841E-2</v>
      </c>
      <c r="J585" s="95">
        <f t="shared" si="18"/>
        <v>4.2498171836746756E-3</v>
      </c>
      <c r="K585" s="37"/>
    </row>
    <row r="586" spans="3:11" x14ac:dyDescent="0.2">
      <c r="C586" s="21">
        <v>43956</v>
      </c>
      <c r="D586">
        <v>180.76</v>
      </c>
      <c r="E586">
        <v>2868.44</v>
      </c>
      <c r="F586">
        <v>36839.199999999997</v>
      </c>
      <c r="I586" s="95">
        <f t="shared" si="19"/>
        <v>1.0735853276671925E-2</v>
      </c>
      <c r="J586" s="95">
        <f t="shared" si="18"/>
        <v>9.0405735311707147E-3</v>
      </c>
      <c r="K586" s="37"/>
    </row>
    <row r="587" spans="3:11" x14ac:dyDescent="0.2">
      <c r="C587" s="21">
        <v>43957</v>
      </c>
      <c r="D587">
        <v>182.54</v>
      </c>
      <c r="E587">
        <v>2848.42</v>
      </c>
      <c r="F587">
        <v>32139.3</v>
      </c>
      <c r="I587" s="95">
        <f t="shared" si="19"/>
        <v>9.8473113520689548E-3</v>
      </c>
      <c r="J587" s="95">
        <f t="shared" si="18"/>
        <v>-6.9794034388029891E-3</v>
      </c>
      <c r="K587" s="37"/>
    </row>
    <row r="588" spans="3:11" x14ac:dyDescent="0.2">
      <c r="C588" s="21">
        <v>43958</v>
      </c>
      <c r="D588">
        <v>183.6</v>
      </c>
      <c r="E588">
        <v>2881.19</v>
      </c>
      <c r="F588">
        <v>28316</v>
      </c>
      <c r="I588" s="95">
        <f t="shared" si="19"/>
        <v>5.806946422701964E-3</v>
      </c>
      <c r="J588" s="95">
        <f t="shared" si="18"/>
        <v>1.1504623615899323E-2</v>
      </c>
      <c r="K588" s="37"/>
    </row>
    <row r="589" spans="3:11" x14ac:dyDescent="0.2">
      <c r="C589" s="21">
        <v>43959</v>
      </c>
      <c r="D589">
        <v>184.68</v>
      </c>
      <c r="E589">
        <v>2929.8</v>
      </c>
      <c r="F589">
        <v>30912.6</v>
      </c>
      <c r="I589" s="95">
        <f t="shared" si="19"/>
        <v>5.8823529411764497E-3</v>
      </c>
      <c r="J589" s="95">
        <f t="shared" si="18"/>
        <v>1.6871501011734846E-2</v>
      </c>
      <c r="K589" s="37"/>
    </row>
    <row r="590" spans="3:11" x14ac:dyDescent="0.2">
      <c r="C590" s="21">
        <v>43962</v>
      </c>
      <c r="D590">
        <v>186.74</v>
      </c>
      <c r="E590">
        <v>2930.32</v>
      </c>
      <c r="F590">
        <v>30892.7</v>
      </c>
      <c r="I590" s="95">
        <f t="shared" si="19"/>
        <v>1.1154429283084299E-2</v>
      </c>
      <c r="J590" s="95">
        <f t="shared" si="18"/>
        <v>1.7748651785098879E-4</v>
      </c>
      <c r="K590" s="37"/>
    </row>
    <row r="591" spans="3:11" x14ac:dyDescent="0.2">
      <c r="C591" s="21">
        <v>43963</v>
      </c>
      <c r="D591">
        <v>182.51</v>
      </c>
      <c r="E591">
        <v>2870.12</v>
      </c>
      <c r="F591">
        <v>32038.2</v>
      </c>
      <c r="I591" s="95">
        <f t="shared" si="19"/>
        <v>-2.2651815358252225E-2</v>
      </c>
      <c r="J591" s="95">
        <f t="shared" si="18"/>
        <v>-2.054383139042848E-2</v>
      </c>
      <c r="K591" s="37"/>
    </row>
    <row r="592" spans="3:11" x14ac:dyDescent="0.2">
      <c r="C592" s="21">
        <v>43964</v>
      </c>
      <c r="D592">
        <v>179.75</v>
      </c>
      <c r="E592">
        <v>2820</v>
      </c>
      <c r="F592">
        <v>44711.5</v>
      </c>
      <c r="I592" s="95">
        <f t="shared" si="19"/>
        <v>-1.5122459043340086E-2</v>
      </c>
      <c r="J592" s="95">
        <f t="shared" si="18"/>
        <v>-1.7462684487059787E-2</v>
      </c>
      <c r="K592" s="37"/>
    </row>
    <row r="593" spans="3:11" x14ac:dyDescent="0.2">
      <c r="C593" s="21">
        <v>43965</v>
      </c>
      <c r="D593">
        <v>180.53</v>
      </c>
      <c r="E593">
        <v>2852.5</v>
      </c>
      <c r="F593">
        <v>41873.9</v>
      </c>
      <c r="I593" s="95">
        <f t="shared" si="19"/>
        <v>4.33936022253123E-3</v>
      </c>
      <c r="J593" s="95">
        <f t="shared" si="18"/>
        <v>1.1524822695035519E-2</v>
      </c>
      <c r="K593" s="37"/>
    </row>
    <row r="594" spans="3:11" x14ac:dyDescent="0.2">
      <c r="C594" s="21">
        <v>43966</v>
      </c>
      <c r="D594">
        <v>183.16</v>
      </c>
      <c r="E594">
        <v>2863.7</v>
      </c>
      <c r="F594">
        <v>46610.400000000001</v>
      </c>
      <c r="I594" s="95">
        <f t="shared" si="19"/>
        <v>1.4568215809006801E-2</v>
      </c>
      <c r="J594" s="95">
        <f t="shared" si="18"/>
        <v>3.9263803680980036E-3</v>
      </c>
      <c r="K594" s="37"/>
    </row>
    <row r="595" spans="3:11" x14ac:dyDescent="0.2">
      <c r="C595" s="21">
        <v>43969</v>
      </c>
      <c r="D595">
        <v>184.91</v>
      </c>
      <c r="E595">
        <v>2953.91</v>
      </c>
      <c r="F595">
        <v>35306.6</v>
      </c>
      <c r="I595" s="95">
        <f t="shared" si="19"/>
        <v>9.5544878794495691E-3</v>
      </c>
      <c r="J595" s="95">
        <f t="shared" si="18"/>
        <v>3.1501204735132848E-2</v>
      </c>
      <c r="K595" s="37"/>
    </row>
    <row r="596" spans="3:11" x14ac:dyDescent="0.2">
      <c r="C596" s="21">
        <v>43970</v>
      </c>
      <c r="D596">
        <v>183.63</v>
      </c>
      <c r="E596">
        <v>2922.94</v>
      </c>
      <c r="F596">
        <v>26799.1</v>
      </c>
      <c r="I596" s="95">
        <f t="shared" si="19"/>
        <v>-6.9222865177653858E-3</v>
      </c>
      <c r="J596" s="95">
        <f t="shared" si="18"/>
        <v>-1.0484408800538914E-2</v>
      </c>
      <c r="K596" s="37"/>
    </row>
    <row r="597" spans="3:11" x14ac:dyDescent="0.2">
      <c r="C597" s="21">
        <v>43971</v>
      </c>
      <c r="D597">
        <v>185.66</v>
      </c>
      <c r="E597">
        <v>2971.61</v>
      </c>
      <c r="F597">
        <v>31261.3</v>
      </c>
      <c r="I597" s="95">
        <f t="shared" si="19"/>
        <v>1.1054838534008571E-2</v>
      </c>
      <c r="J597" s="95">
        <f t="shared" si="18"/>
        <v>1.6651043127809739E-2</v>
      </c>
      <c r="K597" s="37"/>
    </row>
    <row r="598" spans="3:11" x14ac:dyDescent="0.2">
      <c r="C598" s="21">
        <v>43972</v>
      </c>
      <c r="D598">
        <v>183.43</v>
      </c>
      <c r="E598">
        <v>2948.51</v>
      </c>
      <c r="F598">
        <v>29119.5</v>
      </c>
      <c r="I598" s="95">
        <f t="shared" si="19"/>
        <v>-1.2011203274803317E-2</v>
      </c>
      <c r="J598" s="95">
        <f t="shared" si="18"/>
        <v>-7.7735638256701822E-3</v>
      </c>
      <c r="K598" s="37"/>
    </row>
    <row r="599" spans="3:11" x14ac:dyDescent="0.2">
      <c r="C599" s="21">
        <v>43973</v>
      </c>
      <c r="D599">
        <v>183.51</v>
      </c>
      <c r="E599">
        <v>2955.45</v>
      </c>
      <c r="F599">
        <v>20826.900000000001</v>
      </c>
      <c r="I599" s="95">
        <f t="shared" si="19"/>
        <v>4.3613367497119526E-4</v>
      </c>
      <c r="J599" s="95">
        <f t="shared" si="18"/>
        <v>2.3537312066093108E-3</v>
      </c>
      <c r="K599" s="37"/>
    </row>
    <row r="600" spans="3:11" x14ac:dyDescent="0.2">
      <c r="C600" s="21">
        <v>43976</v>
      </c>
      <c r="D600">
        <v>183.51</v>
      </c>
      <c r="E600">
        <v>2955.45</v>
      </c>
      <c r="F600" t="e">
        <v>#N/A</v>
      </c>
      <c r="I600" s="95">
        <f t="shared" si="19"/>
        <v>0</v>
      </c>
      <c r="J600" s="95">
        <f t="shared" si="18"/>
        <v>0</v>
      </c>
      <c r="K600" s="37"/>
    </row>
    <row r="601" spans="3:11" x14ac:dyDescent="0.2">
      <c r="C601" s="21">
        <v>43977</v>
      </c>
      <c r="D601">
        <v>181.57</v>
      </c>
      <c r="E601">
        <v>2991.77</v>
      </c>
      <c r="F601">
        <v>36073.599999999999</v>
      </c>
      <c r="I601" s="95">
        <f t="shared" si="19"/>
        <v>-1.0571630973788881E-2</v>
      </c>
      <c r="J601" s="95">
        <f t="shared" si="18"/>
        <v>1.2289160703107926E-2</v>
      </c>
      <c r="K601" s="37"/>
    </row>
    <row r="602" spans="3:11" x14ac:dyDescent="0.2">
      <c r="C602" s="21">
        <v>43978</v>
      </c>
      <c r="D602">
        <v>181.81</v>
      </c>
      <c r="E602">
        <v>3036.13</v>
      </c>
      <c r="F602">
        <v>39517.1</v>
      </c>
      <c r="I602" s="95">
        <f t="shared" si="19"/>
        <v>1.3218042628186932E-3</v>
      </c>
      <c r="J602" s="95">
        <f t="shared" si="18"/>
        <v>1.4827343010993532E-2</v>
      </c>
      <c r="K602" s="37"/>
    </row>
    <row r="603" spans="3:11" x14ac:dyDescent="0.2">
      <c r="C603" s="21">
        <v>43979</v>
      </c>
      <c r="D603">
        <v>181.4</v>
      </c>
      <c r="E603">
        <v>3029.73</v>
      </c>
      <c r="F603">
        <v>33831.800000000003</v>
      </c>
      <c r="I603" s="95">
        <f t="shared" si="19"/>
        <v>-2.2551014795665347E-3</v>
      </c>
      <c r="J603" s="95">
        <f t="shared" si="18"/>
        <v>-2.1079466294262605E-3</v>
      </c>
      <c r="K603" s="37"/>
    </row>
    <row r="604" spans="3:11" x14ac:dyDescent="0.2">
      <c r="C604" s="21">
        <v>43980</v>
      </c>
      <c r="D604">
        <v>183.25</v>
      </c>
      <c r="E604">
        <v>3044.31</v>
      </c>
      <c r="F604">
        <v>42146.7</v>
      </c>
      <c r="I604" s="95">
        <f t="shared" si="19"/>
        <v>1.0198456449834525E-2</v>
      </c>
      <c r="J604" s="95">
        <f t="shared" si="18"/>
        <v>4.8123100078225622E-3</v>
      </c>
      <c r="K604" s="37"/>
    </row>
    <row r="605" spans="3:11" x14ac:dyDescent="0.2">
      <c r="C605" s="21">
        <v>43983</v>
      </c>
      <c r="D605">
        <v>182.83</v>
      </c>
      <c r="E605">
        <v>3055.73</v>
      </c>
      <c r="F605">
        <v>22668.799999999999</v>
      </c>
      <c r="I605" s="95">
        <f t="shared" si="19"/>
        <v>-2.2919508867665916E-3</v>
      </c>
      <c r="J605" s="95">
        <f t="shared" si="18"/>
        <v>3.7512605483673855E-3</v>
      </c>
      <c r="K605" s="37"/>
    </row>
    <row r="606" spans="3:11" x14ac:dyDescent="0.2">
      <c r="C606" s="21">
        <v>43984</v>
      </c>
      <c r="D606">
        <v>184.91</v>
      </c>
      <c r="E606">
        <v>3080.82</v>
      </c>
      <c r="F606">
        <v>30794.6</v>
      </c>
      <c r="I606" s="95">
        <f t="shared" si="19"/>
        <v>1.1376688727232853E-2</v>
      </c>
      <c r="J606" s="95">
        <f t="shared" si="18"/>
        <v>8.2108039650099496E-3</v>
      </c>
      <c r="K606" s="37"/>
    </row>
    <row r="607" spans="3:11" x14ac:dyDescent="0.2">
      <c r="C607" s="21">
        <v>43985</v>
      </c>
      <c r="D607">
        <v>185.36</v>
      </c>
      <c r="E607">
        <v>3122.87</v>
      </c>
      <c r="F607">
        <v>27311</v>
      </c>
      <c r="I607" s="95">
        <f t="shared" si="19"/>
        <v>2.4336163539020461E-3</v>
      </c>
      <c r="J607" s="95">
        <f t="shared" si="18"/>
        <v>1.3648963587616247E-2</v>
      </c>
      <c r="K607" s="37"/>
    </row>
    <row r="608" spans="3:11" x14ac:dyDescent="0.2">
      <c r="C608" s="21">
        <v>43986</v>
      </c>
      <c r="D608">
        <v>182.92</v>
      </c>
      <c r="E608">
        <v>3112.35</v>
      </c>
      <c r="F608">
        <v>28761.8</v>
      </c>
      <c r="I608" s="95">
        <f t="shared" si="19"/>
        <v>-1.3163573586534416E-2</v>
      </c>
      <c r="J608" s="95">
        <f t="shared" si="18"/>
        <v>-3.3686961032639573E-3</v>
      </c>
      <c r="K608" s="37"/>
    </row>
    <row r="609" spans="3:11" x14ac:dyDescent="0.2">
      <c r="C609" s="21">
        <v>43987</v>
      </c>
      <c r="D609">
        <v>187.2</v>
      </c>
      <c r="E609">
        <v>3193.93</v>
      </c>
      <c r="F609">
        <v>39893.599999999999</v>
      </c>
      <c r="I609" s="95">
        <f t="shared" si="19"/>
        <v>2.3398206866389604E-2</v>
      </c>
      <c r="J609" s="95">
        <f t="shared" si="18"/>
        <v>2.621170498176606E-2</v>
      </c>
      <c r="K609" s="37"/>
    </row>
    <row r="610" spans="3:11" x14ac:dyDescent="0.2">
      <c r="C610" s="21">
        <v>43990</v>
      </c>
      <c r="D610">
        <v>188.36</v>
      </c>
      <c r="E610">
        <v>3232.39</v>
      </c>
      <c r="F610">
        <v>33211.599999999999</v>
      </c>
      <c r="I610" s="95">
        <f t="shared" si="19"/>
        <v>6.1965811965813966E-3</v>
      </c>
      <c r="J610" s="95">
        <f t="shared" si="18"/>
        <v>1.2041591393674889E-2</v>
      </c>
      <c r="K610" s="37"/>
    </row>
    <row r="611" spans="3:11" x14ac:dyDescent="0.2">
      <c r="C611" s="21">
        <v>43991</v>
      </c>
      <c r="D611">
        <v>189.8</v>
      </c>
      <c r="E611">
        <v>3207.18</v>
      </c>
      <c r="F611">
        <v>29783.9</v>
      </c>
      <c r="I611" s="95">
        <f t="shared" si="19"/>
        <v>7.6449352304097662E-3</v>
      </c>
      <c r="J611" s="95">
        <f t="shared" si="18"/>
        <v>-7.7991826481333959E-3</v>
      </c>
      <c r="K611" s="37"/>
    </row>
    <row r="612" spans="3:11" x14ac:dyDescent="0.2">
      <c r="C612" s="21">
        <v>43992</v>
      </c>
      <c r="D612">
        <v>196.84</v>
      </c>
      <c r="E612">
        <v>3190.14</v>
      </c>
      <c r="F612">
        <v>43872.3</v>
      </c>
      <c r="I612" s="95">
        <f t="shared" si="19"/>
        <v>3.7091675447839867E-2</v>
      </c>
      <c r="J612" s="95">
        <f t="shared" si="18"/>
        <v>-5.3130787794885004E-3</v>
      </c>
      <c r="K612" s="37"/>
    </row>
    <row r="613" spans="3:11" x14ac:dyDescent="0.2">
      <c r="C613" s="21">
        <v>43993</v>
      </c>
      <c r="D613">
        <v>186.27</v>
      </c>
      <c r="E613">
        <v>3002.1</v>
      </c>
      <c r="F613">
        <v>52854.7</v>
      </c>
      <c r="I613" s="95">
        <f t="shared" si="19"/>
        <v>-5.3698435277382606E-2</v>
      </c>
      <c r="J613" s="95">
        <f t="shared" si="18"/>
        <v>-5.8944121574601716E-2</v>
      </c>
      <c r="K613" s="37"/>
    </row>
    <row r="614" spans="3:11" x14ac:dyDescent="0.2">
      <c r="C614" s="21">
        <v>43994</v>
      </c>
      <c r="D614">
        <v>187.74</v>
      </c>
      <c r="E614">
        <v>3041.31</v>
      </c>
      <c r="F614">
        <v>43373.599999999999</v>
      </c>
      <c r="I614" s="95">
        <f t="shared" si="19"/>
        <v>7.8917700112739464E-3</v>
      </c>
      <c r="J614" s="95">
        <f t="shared" si="18"/>
        <v>1.3060857399820103E-2</v>
      </c>
      <c r="K614" s="37"/>
    </row>
    <row r="615" spans="3:11" x14ac:dyDescent="0.2">
      <c r="C615" s="21">
        <v>43997</v>
      </c>
      <c r="D615">
        <v>188.94</v>
      </c>
      <c r="E615">
        <v>3066.59</v>
      </c>
      <c r="F615">
        <v>32770.199999999997</v>
      </c>
      <c r="I615" s="95">
        <f t="shared" si="19"/>
        <v>6.3918184723552596E-3</v>
      </c>
      <c r="J615" s="95">
        <f t="shared" si="18"/>
        <v>8.3122075684491925E-3</v>
      </c>
      <c r="K615" s="37"/>
    </row>
    <row r="616" spans="3:11" x14ac:dyDescent="0.2">
      <c r="C616" s="21">
        <v>43998</v>
      </c>
      <c r="D616">
        <v>193.57</v>
      </c>
      <c r="E616">
        <v>3124.74</v>
      </c>
      <c r="F616">
        <v>42556.7</v>
      </c>
      <c r="I616" s="95">
        <f t="shared" si="19"/>
        <v>2.4505133904943355E-2</v>
      </c>
      <c r="J616" s="95">
        <f t="shared" si="18"/>
        <v>1.8962430582503575E-2</v>
      </c>
      <c r="K616" s="37"/>
    </row>
    <row r="617" spans="3:11" x14ac:dyDescent="0.2">
      <c r="C617" s="21">
        <v>43999</v>
      </c>
      <c r="D617">
        <v>194.24</v>
      </c>
      <c r="E617">
        <v>3113.49</v>
      </c>
      <c r="F617">
        <v>25687.8</v>
      </c>
      <c r="I617" s="95">
        <f t="shared" si="19"/>
        <v>3.4612801570492735E-3</v>
      </c>
      <c r="J617" s="95">
        <f t="shared" si="18"/>
        <v>-3.6002995449221364E-3</v>
      </c>
      <c r="K617" s="37"/>
    </row>
    <row r="618" spans="3:11" x14ac:dyDescent="0.2">
      <c r="C618" s="21">
        <v>44000</v>
      </c>
      <c r="D618">
        <v>196.32</v>
      </c>
      <c r="E618">
        <v>3115.34</v>
      </c>
      <c r="F618">
        <v>23061.599999999999</v>
      </c>
      <c r="I618" s="95">
        <f t="shared" si="19"/>
        <v>1.0708401976935678E-2</v>
      </c>
      <c r="J618" s="95">
        <f t="shared" si="18"/>
        <v>5.9418851513903803E-4</v>
      </c>
      <c r="K618" s="37"/>
    </row>
    <row r="619" spans="3:11" x14ac:dyDescent="0.2">
      <c r="C619" s="21">
        <v>44001</v>
      </c>
      <c r="D619">
        <v>195.15</v>
      </c>
      <c r="E619">
        <v>3097.74</v>
      </c>
      <c r="F619">
        <v>44441.1</v>
      </c>
      <c r="I619" s="95">
        <f t="shared" si="19"/>
        <v>-5.9596577017114738E-3</v>
      </c>
      <c r="J619" s="95">
        <f t="shared" si="18"/>
        <v>-5.6494636219482919E-3</v>
      </c>
      <c r="K619" s="37"/>
    </row>
    <row r="620" spans="3:11" x14ac:dyDescent="0.2">
      <c r="C620" s="21">
        <v>44004</v>
      </c>
      <c r="D620">
        <v>200.57</v>
      </c>
      <c r="E620">
        <v>3117.86</v>
      </c>
      <c r="F620">
        <v>32818.9</v>
      </c>
      <c r="I620" s="95">
        <f t="shared" si="19"/>
        <v>2.7773507558288335E-2</v>
      </c>
      <c r="J620" s="95">
        <f t="shared" si="18"/>
        <v>6.4950576872171428E-3</v>
      </c>
      <c r="K620" s="37"/>
    </row>
    <row r="621" spans="3:11" x14ac:dyDescent="0.2">
      <c r="C621" s="21">
        <v>44005</v>
      </c>
      <c r="D621">
        <v>201.91</v>
      </c>
      <c r="E621">
        <v>3131.29</v>
      </c>
      <c r="F621">
        <v>30917.4</v>
      </c>
      <c r="I621" s="95">
        <f t="shared" si="19"/>
        <v>6.6809592660916906E-3</v>
      </c>
      <c r="J621" s="95">
        <f t="shared" si="18"/>
        <v>4.3074416426651663E-3</v>
      </c>
      <c r="K621" s="37"/>
    </row>
    <row r="622" spans="3:11" x14ac:dyDescent="0.2">
      <c r="C622" s="21">
        <v>44006</v>
      </c>
      <c r="D622">
        <v>197.84</v>
      </c>
      <c r="E622">
        <v>3050.33</v>
      </c>
      <c r="F622">
        <v>36740.6</v>
      </c>
      <c r="I622" s="95">
        <f t="shared" si="19"/>
        <v>-2.0157495914021051E-2</v>
      </c>
      <c r="J622" s="95">
        <f t="shared" si="18"/>
        <v>-2.5855158736495243E-2</v>
      </c>
      <c r="K622" s="37"/>
    </row>
    <row r="623" spans="3:11" x14ac:dyDescent="0.2">
      <c r="C623" s="21">
        <v>44007</v>
      </c>
      <c r="D623">
        <v>200.34</v>
      </c>
      <c r="E623">
        <v>3083.76</v>
      </c>
      <c r="F623">
        <v>27803.9</v>
      </c>
      <c r="I623" s="95">
        <f t="shared" si="19"/>
        <v>1.2636473918317792E-2</v>
      </c>
      <c r="J623" s="95">
        <f t="shared" si="18"/>
        <v>1.0959469958988111E-2</v>
      </c>
      <c r="K623" s="37"/>
    </row>
    <row r="624" spans="3:11" x14ac:dyDescent="0.2">
      <c r="C624" s="21">
        <v>44008</v>
      </c>
      <c r="D624">
        <v>196.33</v>
      </c>
      <c r="E624">
        <v>3009.05</v>
      </c>
      <c r="F624">
        <v>54675.8</v>
      </c>
      <c r="I624" s="95">
        <f t="shared" si="19"/>
        <v>-2.0015972846161523E-2</v>
      </c>
      <c r="J624" s="95">
        <f t="shared" si="18"/>
        <v>-2.4226917788673585E-2</v>
      </c>
      <c r="K624" s="37"/>
    </row>
    <row r="625" spans="3:11" x14ac:dyDescent="0.2">
      <c r="C625" s="21">
        <v>44011</v>
      </c>
      <c r="D625">
        <v>198.44</v>
      </c>
      <c r="E625">
        <v>3053.24</v>
      </c>
      <c r="F625">
        <v>26701.599999999999</v>
      </c>
      <c r="I625" s="95">
        <f t="shared" si="19"/>
        <v>1.0747211327866379E-2</v>
      </c>
      <c r="J625" s="95">
        <f t="shared" si="18"/>
        <v>1.468569814393228E-2</v>
      </c>
      <c r="K625" s="37"/>
    </row>
    <row r="626" spans="3:11" x14ac:dyDescent="0.2">
      <c r="C626" s="21">
        <v>44012</v>
      </c>
      <c r="D626">
        <v>203.51</v>
      </c>
      <c r="E626">
        <v>3100.29</v>
      </c>
      <c r="F626">
        <v>34310.300000000003</v>
      </c>
      <c r="I626" s="95">
        <f t="shared" si="19"/>
        <v>2.5549284418463936E-2</v>
      </c>
      <c r="J626" s="95">
        <f t="shared" si="18"/>
        <v>1.5409859690034278E-2</v>
      </c>
      <c r="K626" s="37"/>
    </row>
    <row r="627" spans="3:11" x14ac:dyDescent="0.2">
      <c r="C627" s="21">
        <v>44013</v>
      </c>
      <c r="D627">
        <v>204.7</v>
      </c>
      <c r="E627">
        <v>3115.86</v>
      </c>
      <c r="F627">
        <v>32061.200000000001</v>
      </c>
      <c r="I627" s="95">
        <f t="shared" si="19"/>
        <v>5.8473785071986306E-3</v>
      </c>
      <c r="J627" s="95">
        <f t="shared" si="18"/>
        <v>5.022110834792981E-3</v>
      </c>
      <c r="K627" s="37"/>
    </row>
    <row r="628" spans="3:11" x14ac:dyDescent="0.2">
      <c r="C628" s="21">
        <v>44014</v>
      </c>
      <c r="D628">
        <v>206.26</v>
      </c>
      <c r="E628">
        <v>3130.01</v>
      </c>
      <c r="F628">
        <v>29315.8</v>
      </c>
      <c r="I628" s="95">
        <f t="shared" si="19"/>
        <v>7.6209086468002063E-3</v>
      </c>
      <c r="J628" s="95">
        <f t="shared" si="18"/>
        <v>4.5412823425956539E-3</v>
      </c>
      <c r="K628" s="37"/>
    </row>
    <row r="629" spans="3:11" x14ac:dyDescent="0.2">
      <c r="C629" s="21">
        <v>44015</v>
      </c>
      <c r="D629">
        <v>206.26</v>
      </c>
      <c r="E629">
        <v>3130.01</v>
      </c>
      <c r="F629" t="e">
        <v>#N/A</v>
      </c>
      <c r="I629" s="95">
        <f t="shared" si="19"/>
        <v>0</v>
      </c>
      <c r="J629" s="95">
        <f t="shared" si="18"/>
        <v>0</v>
      </c>
      <c r="K629" s="37"/>
    </row>
    <row r="630" spans="3:11" x14ac:dyDescent="0.2">
      <c r="C630" s="21">
        <v>44018</v>
      </c>
      <c r="D630">
        <v>210.7</v>
      </c>
      <c r="E630">
        <v>3179.72</v>
      </c>
      <c r="F630">
        <v>31897.599999999999</v>
      </c>
      <c r="I630" s="95">
        <f t="shared" si="19"/>
        <v>2.1526229031319621E-2</v>
      </c>
      <c r="J630" s="95">
        <f t="shared" si="18"/>
        <v>1.5881738397001799E-2</v>
      </c>
      <c r="K630" s="37"/>
    </row>
    <row r="631" spans="3:11" x14ac:dyDescent="0.2">
      <c r="C631" s="21">
        <v>44019</v>
      </c>
      <c r="D631">
        <v>208.25</v>
      </c>
      <c r="E631">
        <v>3145.32</v>
      </c>
      <c r="F631">
        <v>33600.699999999997</v>
      </c>
      <c r="I631" s="95">
        <f t="shared" si="19"/>
        <v>-1.1627906976744096E-2</v>
      </c>
      <c r="J631" s="95">
        <f t="shared" si="18"/>
        <v>-1.0818562640735552E-2</v>
      </c>
      <c r="K631" s="37"/>
    </row>
    <row r="632" spans="3:11" x14ac:dyDescent="0.2">
      <c r="C632" s="21">
        <v>44020</v>
      </c>
      <c r="D632">
        <v>212.83</v>
      </c>
      <c r="E632">
        <v>3169.94</v>
      </c>
      <c r="F632">
        <v>33600</v>
      </c>
      <c r="I632" s="95">
        <f t="shared" si="19"/>
        <v>2.1992797118847607E-2</v>
      </c>
      <c r="J632" s="95">
        <f t="shared" si="18"/>
        <v>7.8275024480816136E-3</v>
      </c>
      <c r="K632" s="37"/>
    </row>
    <row r="633" spans="3:11" x14ac:dyDescent="0.2">
      <c r="C633" s="21">
        <v>44021</v>
      </c>
      <c r="D633">
        <v>214.32</v>
      </c>
      <c r="E633">
        <v>3152.05</v>
      </c>
      <c r="F633">
        <v>33121.699999999997</v>
      </c>
      <c r="I633" s="95">
        <f t="shared" si="19"/>
        <v>7.0008927312878999E-3</v>
      </c>
      <c r="J633" s="95">
        <f t="shared" si="18"/>
        <v>-5.6436399427117756E-3</v>
      </c>
      <c r="K633" s="37"/>
    </row>
    <row r="634" spans="3:11" x14ac:dyDescent="0.2">
      <c r="C634" s="21">
        <v>44022</v>
      </c>
      <c r="D634">
        <v>213.67</v>
      </c>
      <c r="E634">
        <v>3185.04</v>
      </c>
      <c r="F634">
        <v>26177.599999999999</v>
      </c>
      <c r="I634" s="95">
        <f t="shared" si="19"/>
        <v>-3.0328480776409261E-3</v>
      </c>
      <c r="J634" s="95">
        <f t="shared" si="18"/>
        <v>1.046620453355751E-2</v>
      </c>
      <c r="K634" s="37"/>
    </row>
    <row r="635" spans="3:11" x14ac:dyDescent="0.2">
      <c r="C635" s="21">
        <v>44025</v>
      </c>
      <c r="D635">
        <v>207.07</v>
      </c>
      <c r="E635">
        <v>3155.22</v>
      </c>
      <c r="F635">
        <v>38135.599999999999</v>
      </c>
      <c r="I635" s="95">
        <f t="shared" si="19"/>
        <v>-3.0888753685589854E-2</v>
      </c>
      <c r="J635" s="95">
        <f t="shared" si="18"/>
        <v>-9.3625197799713789E-3</v>
      </c>
      <c r="K635" s="37"/>
    </row>
    <row r="636" spans="3:11" x14ac:dyDescent="0.2">
      <c r="C636" s="21">
        <v>44026</v>
      </c>
      <c r="D636">
        <v>208.35</v>
      </c>
      <c r="E636">
        <v>3197.52</v>
      </c>
      <c r="F636">
        <v>37591.800000000003</v>
      </c>
      <c r="I636" s="95">
        <f t="shared" si="19"/>
        <v>6.1814845221421777E-3</v>
      </c>
      <c r="J636" s="95">
        <f t="shared" si="18"/>
        <v>1.3406355182839835E-2</v>
      </c>
      <c r="K636" s="37"/>
    </row>
    <row r="637" spans="3:11" x14ac:dyDescent="0.2">
      <c r="C637" s="21">
        <v>44027</v>
      </c>
      <c r="D637">
        <v>208.04</v>
      </c>
      <c r="E637">
        <v>3226.56</v>
      </c>
      <c r="F637">
        <v>32179.4</v>
      </c>
      <c r="I637" s="95">
        <f t="shared" si="19"/>
        <v>-1.4878809695224593E-3</v>
      </c>
      <c r="J637" s="95">
        <f t="shared" si="18"/>
        <v>9.0820385798993097E-3</v>
      </c>
      <c r="K637" s="37"/>
    </row>
    <row r="638" spans="3:11" x14ac:dyDescent="0.2">
      <c r="C638" s="21">
        <v>44028</v>
      </c>
      <c r="D638">
        <v>203.92</v>
      </c>
      <c r="E638">
        <v>3215.57</v>
      </c>
      <c r="F638">
        <v>29940.7</v>
      </c>
      <c r="I638" s="95">
        <f t="shared" si="19"/>
        <v>-1.980388386848686E-2</v>
      </c>
      <c r="J638" s="95">
        <f t="shared" si="18"/>
        <v>-3.4061043340275488E-3</v>
      </c>
      <c r="K638" s="37"/>
    </row>
    <row r="639" spans="3:11" x14ac:dyDescent="0.2">
      <c r="C639" s="21">
        <v>44029</v>
      </c>
      <c r="D639">
        <v>202.88</v>
      </c>
      <c r="E639">
        <v>3224.73</v>
      </c>
      <c r="F639">
        <v>31635.3</v>
      </c>
      <c r="I639" s="95">
        <f t="shared" si="19"/>
        <v>-5.1000392310709408E-3</v>
      </c>
      <c r="J639" s="95">
        <f t="shared" si="18"/>
        <v>2.8486395880045201E-3</v>
      </c>
      <c r="K639" s="37"/>
    </row>
    <row r="640" spans="3:11" x14ac:dyDescent="0.2">
      <c r="C640" s="21">
        <v>44032</v>
      </c>
      <c r="D640">
        <v>211.6</v>
      </c>
      <c r="E640">
        <v>3251.84</v>
      </c>
      <c r="F640">
        <v>36884.800000000003</v>
      </c>
      <c r="I640" s="95">
        <f t="shared" si="19"/>
        <v>4.2981072555205113E-2</v>
      </c>
      <c r="J640" s="95">
        <f t="shared" si="18"/>
        <v>8.4069053843267572E-3</v>
      </c>
      <c r="K640" s="37"/>
    </row>
    <row r="641" spans="3:11" x14ac:dyDescent="0.2">
      <c r="C641" s="21">
        <v>44033</v>
      </c>
      <c r="D641">
        <v>208.75</v>
      </c>
      <c r="E641">
        <v>3257.3</v>
      </c>
      <c r="F641">
        <v>38105.800000000003</v>
      </c>
      <c r="I641" s="95">
        <f t="shared" si="19"/>
        <v>-1.3468809073723942E-2</v>
      </c>
      <c r="J641" s="95">
        <f t="shared" si="18"/>
        <v>1.6790493997245193E-3</v>
      </c>
      <c r="K641" s="37"/>
    </row>
    <row r="642" spans="3:11" x14ac:dyDescent="0.2">
      <c r="C642" s="21">
        <v>44034</v>
      </c>
      <c r="D642">
        <v>211.75</v>
      </c>
      <c r="E642">
        <v>3276.02</v>
      </c>
      <c r="F642">
        <v>49605.7</v>
      </c>
      <c r="I642" s="95">
        <f t="shared" si="19"/>
        <v>1.4371257485029876E-2</v>
      </c>
      <c r="J642" s="95">
        <f t="shared" si="18"/>
        <v>5.7470911491110943E-3</v>
      </c>
      <c r="K642" s="37"/>
    </row>
    <row r="643" spans="3:11" x14ac:dyDescent="0.2">
      <c r="C643" s="21">
        <v>44035</v>
      </c>
      <c r="D643">
        <v>202.54</v>
      </c>
      <c r="E643">
        <v>3235.66</v>
      </c>
      <c r="F643">
        <v>67457.100000000006</v>
      </c>
      <c r="I643" s="95">
        <f t="shared" si="19"/>
        <v>-4.3494687131050758E-2</v>
      </c>
      <c r="J643" s="95">
        <f t="shared" si="18"/>
        <v>-1.2319827107282633E-2</v>
      </c>
      <c r="K643" s="37"/>
    </row>
    <row r="644" spans="3:11" x14ac:dyDescent="0.2">
      <c r="C644" s="21">
        <v>44036</v>
      </c>
      <c r="D644">
        <v>201.3</v>
      </c>
      <c r="E644">
        <v>3215.63</v>
      </c>
      <c r="F644">
        <v>39827</v>
      </c>
      <c r="I644" s="95">
        <f t="shared" si="19"/>
        <v>-6.1222474572922847E-3</v>
      </c>
      <c r="J644" s="95">
        <f t="shared" si="18"/>
        <v>-6.1903908321639944E-3</v>
      </c>
      <c r="K644" s="37"/>
    </row>
    <row r="645" spans="3:11" x14ac:dyDescent="0.2">
      <c r="C645" s="21">
        <v>44039</v>
      </c>
      <c r="D645">
        <v>203.85</v>
      </c>
      <c r="E645">
        <v>3239.41</v>
      </c>
      <c r="F645">
        <v>30160.9</v>
      </c>
      <c r="I645" s="95">
        <f t="shared" si="19"/>
        <v>1.2667660208643738E-2</v>
      </c>
      <c r="J645" s="95">
        <f t="shared" ref="J645:J708" si="20">E645/E644-1</f>
        <v>7.3951294147647229E-3</v>
      </c>
      <c r="K645" s="37"/>
    </row>
    <row r="646" spans="3:11" x14ac:dyDescent="0.2">
      <c r="C646" s="21">
        <v>44040</v>
      </c>
      <c r="D646">
        <v>202.02</v>
      </c>
      <c r="E646">
        <v>3218.44</v>
      </c>
      <c r="F646">
        <v>23251.4</v>
      </c>
      <c r="I646" s="95">
        <f t="shared" ref="I646:I709" si="21">D646/D645-1</f>
        <v>-8.9771891096394052E-3</v>
      </c>
      <c r="J646" s="95">
        <f t="shared" si="20"/>
        <v>-6.4734010205561576E-3</v>
      </c>
      <c r="K646" s="37"/>
    </row>
    <row r="647" spans="3:11" x14ac:dyDescent="0.2">
      <c r="C647" s="21">
        <v>44041</v>
      </c>
      <c r="D647">
        <v>204.06</v>
      </c>
      <c r="E647">
        <v>3258.44</v>
      </c>
      <c r="F647">
        <v>19632.599999999999</v>
      </c>
      <c r="I647" s="95">
        <f t="shared" si="21"/>
        <v>1.0098010098010146E-2</v>
      </c>
      <c r="J647" s="95">
        <f t="shared" si="20"/>
        <v>1.2428381451883519E-2</v>
      </c>
      <c r="K647" s="37"/>
    </row>
    <row r="648" spans="3:11" x14ac:dyDescent="0.2">
      <c r="C648" s="21">
        <v>44042</v>
      </c>
      <c r="D648">
        <v>203.9</v>
      </c>
      <c r="E648">
        <v>3246.22</v>
      </c>
      <c r="F648">
        <v>25079.599999999999</v>
      </c>
      <c r="I648" s="95">
        <f t="shared" si="21"/>
        <v>-7.8408311280997456E-4</v>
      </c>
      <c r="J648" s="95">
        <f t="shared" si="20"/>
        <v>-3.7502608610255894E-3</v>
      </c>
      <c r="K648" s="37"/>
    </row>
    <row r="649" spans="3:11" x14ac:dyDescent="0.2">
      <c r="C649" s="21">
        <v>44043</v>
      </c>
      <c r="D649">
        <v>205.01</v>
      </c>
      <c r="E649">
        <v>3271.12</v>
      </c>
      <c r="F649">
        <v>51248</v>
      </c>
      <c r="I649" s="95">
        <f t="shared" si="21"/>
        <v>5.4438450220695156E-3</v>
      </c>
      <c r="J649" s="95">
        <f t="shared" si="20"/>
        <v>7.6704597963170862E-3</v>
      </c>
      <c r="K649" s="37"/>
    </row>
    <row r="650" spans="3:11" x14ac:dyDescent="0.2">
      <c r="C650" s="21">
        <v>44046</v>
      </c>
      <c r="D650">
        <v>216.54</v>
      </c>
      <c r="E650">
        <v>3294.61</v>
      </c>
      <c r="F650">
        <v>78983</v>
      </c>
      <c r="I650" s="95">
        <f t="shared" si="21"/>
        <v>5.6241158967855309E-2</v>
      </c>
      <c r="J650" s="95">
        <f t="shared" si="20"/>
        <v>7.1810266819927193E-3</v>
      </c>
      <c r="K650" s="37"/>
    </row>
    <row r="651" spans="3:11" x14ac:dyDescent="0.2">
      <c r="C651" s="21">
        <v>44047</v>
      </c>
      <c r="D651">
        <v>213.29</v>
      </c>
      <c r="E651">
        <v>3306.51</v>
      </c>
      <c r="F651">
        <v>49280.1</v>
      </c>
      <c r="I651" s="95">
        <f t="shared" si="21"/>
        <v>-1.5008774360395272E-2</v>
      </c>
      <c r="J651" s="95">
        <f t="shared" si="20"/>
        <v>3.6119601409574376E-3</v>
      </c>
      <c r="K651" s="37"/>
    </row>
    <row r="652" spans="3:11" x14ac:dyDescent="0.2">
      <c r="C652" s="21">
        <v>44048</v>
      </c>
      <c r="D652">
        <v>212.94</v>
      </c>
      <c r="E652">
        <v>3327.77</v>
      </c>
      <c r="F652">
        <v>28858.6</v>
      </c>
      <c r="I652" s="95">
        <f t="shared" si="21"/>
        <v>-1.6409583196586031E-3</v>
      </c>
      <c r="J652" s="95">
        <f t="shared" si="20"/>
        <v>6.4297401187354275E-3</v>
      </c>
      <c r="K652" s="37"/>
    </row>
    <row r="653" spans="3:11" x14ac:dyDescent="0.2">
      <c r="C653" s="21">
        <v>44049</v>
      </c>
      <c r="D653">
        <v>216.35</v>
      </c>
      <c r="E653">
        <v>3349.16</v>
      </c>
      <c r="F653">
        <v>32656.799999999999</v>
      </c>
      <c r="I653" s="95">
        <f t="shared" si="21"/>
        <v>1.6013900629285205E-2</v>
      </c>
      <c r="J653" s="95">
        <f t="shared" si="20"/>
        <v>6.4277278778279712E-3</v>
      </c>
      <c r="K653" s="37"/>
    </row>
    <row r="654" spans="3:11" x14ac:dyDescent="0.2">
      <c r="C654" s="21">
        <v>44050</v>
      </c>
      <c r="D654">
        <v>212.48</v>
      </c>
      <c r="E654">
        <v>3351.28</v>
      </c>
      <c r="F654">
        <v>27820.400000000001</v>
      </c>
      <c r="I654" s="95">
        <f t="shared" si="21"/>
        <v>-1.7887681996764493E-2</v>
      </c>
      <c r="J654" s="95">
        <f t="shared" si="20"/>
        <v>6.329945419150107E-4</v>
      </c>
      <c r="K654" s="37"/>
    </row>
    <row r="655" spans="3:11" x14ac:dyDescent="0.2">
      <c r="C655" s="21">
        <v>44053</v>
      </c>
      <c r="D655">
        <v>208.25</v>
      </c>
      <c r="E655">
        <v>3360.47</v>
      </c>
      <c r="F655">
        <v>36716.5</v>
      </c>
      <c r="I655" s="95">
        <f t="shared" si="21"/>
        <v>-1.9907756024096335E-2</v>
      </c>
      <c r="J655" s="95">
        <f t="shared" si="20"/>
        <v>2.7422358024395965E-3</v>
      </c>
      <c r="K655" s="37"/>
    </row>
    <row r="656" spans="3:11" x14ac:dyDescent="0.2">
      <c r="C656" s="21">
        <v>44054</v>
      </c>
      <c r="D656">
        <v>203.38</v>
      </c>
      <c r="E656">
        <v>3333.69</v>
      </c>
      <c r="F656">
        <v>36446.5</v>
      </c>
      <c r="I656" s="95">
        <f t="shared" si="21"/>
        <v>-2.3385354141656656E-2</v>
      </c>
      <c r="J656" s="95">
        <f t="shared" si="20"/>
        <v>-7.9691233666718819E-3</v>
      </c>
      <c r="K656" s="37"/>
    </row>
    <row r="657" spans="3:11" x14ac:dyDescent="0.2">
      <c r="C657" s="21">
        <v>44055</v>
      </c>
      <c r="D657">
        <v>209.19</v>
      </c>
      <c r="E657">
        <v>3380.35</v>
      </c>
      <c r="F657">
        <v>28041.4</v>
      </c>
      <c r="I657" s="95">
        <f t="shared" si="21"/>
        <v>2.8567214082013903E-2</v>
      </c>
      <c r="J657" s="95">
        <f t="shared" si="20"/>
        <v>1.3996502374245878E-2</v>
      </c>
      <c r="K657" s="37"/>
    </row>
    <row r="658" spans="3:11" x14ac:dyDescent="0.2">
      <c r="C658" s="21">
        <v>44056</v>
      </c>
      <c r="D658">
        <v>208.7</v>
      </c>
      <c r="E658">
        <v>3373.43</v>
      </c>
      <c r="F658">
        <v>22588.9</v>
      </c>
      <c r="I658" s="95">
        <f t="shared" si="21"/>
        <v>-2.3423681820354814E-3</v>
      </c>
      <c r="J658" s="95">
        <f t="shared" si="20"/>
        <v>-2.0471252976762555E-3</v>
      </c>
      <c r="K658" s="37"/>
    </row>
    <row r="659" spans="3:11" x14ac:dyDescent="0.2">
      <c r="C659" s="21">
        <v>44057</v>
      </c>
      <c r="D659">
        <v>208.9</v>
      </c>
      <c r="E659">
        <v>3372.85</v>
      </c>
      <c r="F659">
        <v>17958.900000000001</v>
      </c>
      <c r="I659" s="95">
        <f t="shared" si="21"/>
        <v>9.5831336847163051E-4</v>
      </c>
      <c r="J659" s="95">
        <f t="shared" si="20"/>
        <v>-1.7193183199293305E-4</v>
      </c>
      <c r="K659" s="37"/>
    </row>
    <row r="660" spans="3:11" x14ac:dyDescent="0.2">
      <c r="C660" s="21">
        <v>44060</v>
      </c>
      <c r="D660">
        <v>210.28</v>
      </c>
      <c r="E660">
        <v>3381.99</v>
      </c>
      <c r="F660">
        <v>20184.8</v>
      </c>
      <c r="I660" s="95">
        <f t="shared" si="21"/>
        <v>6.6060315940641434E-3</v>
      </c>
      <c r="J660" s="95">
        <f t="shared" si="20"/>
        <v>2.7098744385312123E-3</v>
      </c>
      <c r="K660" s="37"/>
    </row>
    <row r="661" spans="3:11" x14ac:dyDescent="0.2">
      <c r="C661" s="21">
        <v>44061</v>
      </c>
      <c r="D661">
        <v>211.49</v>
      </c>
      <c r="E661">
        <v>3389.78</v>
      </c>
      <c r="F661">
        <v>21336.2</v>
      </c>
      <c r="I661" s="95">
        <f t="shared" si="21"/>
        <v>5.7542324519688215E-3</v>
      </c>
      <c r="J661" s="95">
        <f t="shared" si="20"/>
        <v>2.3033775972136628E-3</v>
      </c>
      <c r="K661" s="37"/>
    </row>
    <row r="662" spans="3:11" x14ac:dyDescent="0.2">
      <c r="C662" s="21">
        <v>44062</v>
      </c>
      <c r="D662">
        <v>209.7</v>
      </c>
      <c r="E662">
        <v>3374.85</v>
      </c>
      <c r="F662">
        <v>27627.599999999999</v>
      </c>
      <c r="I662" s="95">
        <f t="shared" si="21"/>
        <v>-8.4637571516384957E-3</v>
      </c>
      <c r="J662" s="95">
        <f t="shared" si="20"/>
        <v>-4.4044156257928568E-3</v>
      </c>
      <c r="K662" s="37"/>
    </row>
    <row r="663" spans="3:11" x14ac:dyDescent="0.2">
      <c r="C663" s="21">
        <v>44063</v>
      </c>
      <c r="D663">
        <v>214.58</v>
      </c>
      <c r="E663">
        <v>3385.51</v>
      </c>
      <c r="F663">
        <v>26981.5</v>
      </c>
      <c r="I663" s="95">
        <f t="shared" si="21"/>
        <v>2.3271340009537456E-2</v>
      </c>
      <c r="J663" s="95">
        <f t="shared" si="20"/>
        <v>3.1586589033587575E-3</v>
      </c>
      <c r="K663" s="37"/>
    </row>
    <row r="664" spans="3:11" x14ac:dyDescent="0.2">
      <c r="C664" s="21">
        <v>44064</v>
      </c>
      <c r="D664">
        <v>213.02</v>
      </c>
      <c r="E664">
        <v>3397.16</v>
      </c>
      <c r="F664">
        <v>36249.300000000003</v>
      </c>
      <c r="I664" s="95">
        <f t="shared" si="21"/>
        <v>-7.2700158449063856E-3</v>
      </c>
      <c r="J664" s="95">
        <f t="shared" si="20"/>
        <v>3.4411358997610275E-3</v>
      </c>
      <c r="K664" s="37"/>
    </row>
    <row r="665" spans="3:11" x14ac:dyDescent="0.2">
      <c r="C665" s="21">
        <v>44067</v>
      </c>
      <c r="D665">
        <v>213.69</v>
      </c>
      <c r="E665">
        <v>3431.28</v>
      </c>
      <c r="F665">
        <v>25460.1</v>
      </c>
      <c r="I665" s="95">
        <f t="shared" si="21"/>
        <v>3.1452445779738269E-3</v>
      </c>
      <c r="J665" s="95">
        <f t="shared" si="20"/>
        <v>1.004368354743379E-2</v>
      </c>
      <c r="K665" s="37"/>
    </row>
    <row r="666" spans="3:11" x14ac:dyDescent="0.2">
      <c r="C666" s="21">
        <v>44068</v>
      </c>
      <c r="D666">
        <v>216.47</v>
      </c>
      <c r="E666">
        <v>3443.62</v>
      </c>
      <c r="F666">
        <v>23043.7</v>
      </c>
      <c r="I666" s="95">
        <f t="shared" si="21"/>
        <v>1.3009499742617781E-2</v>
      </c>
      <c r="J666" s="95">
        <f t="shared" si="20"/>
        <v>3.5963255694666518E-3</v>
      </c>
      <c r="K666" s="37"/>
    </row>
    <row r="667" spans="3:11" x14ac:dyDescent="0.2">
      <c r="C667" s="21">
        <v>44069</v>
      </c>
      <c r="D667">
        <v>221.15</v>
      </c>
      <c r="E667">
        <v>3478.73</v>
      </c>
      <c r="F667">
        <v>39600.800000000003</v>
      </c>
      <c r="I667" s="95">
        <f t="shared" si="21"/>
        <v>2.1619623966369517E-2</v>
      </c>
      <c r="J667" s="95">
        <f t="shared" si="20"/>
        <v>1.0195666188487662E-2</v>
      </c>
      <c r="K667" s="37"/>
    </row>
    <row r="668" spans="3:11" x14ac:dyDescent="0.2">
      <c r="C668" s="21">
        <v>44070</v>
      </c>
      <c r="D668">
        <v>226.58</v>
      </c>
      <c r="E668">
        <v>3484.55</v>
      </c>
      <c r="F668">
        <v>57602.2</v>
      </c>
      <c r="I668" s="95">
        <f t="shared" si="21"/>
        <v>2.4553470495139118E-2</v>
      </c>
      <c r="J668" s="95">
        <f t="shared" si="20"/>
        <v>1.6730243508407128E-3</v>
      </c>
      <c r="K668" s="37"/>
    </row>
    <row r="669" spans="3:11" x14ac:dyDescent="0.2">
      <c r="C669" s="21">
        <v>44071</v>
      </c>
      <c r="D669">
        <v>228.91</v>
      </c>
      <c r="E669">
        <v>3508.01</v>
      </c>
      <c r="F669">
        <v>26292.9</v>
      </c>
      <c r="I669" s="95">
        <f t="shared" si="21"/>
        <v>1.0283343631388497E-2</v>
      </c>
      <c r="J669" s="95">
        <f t="shared" si="20"/>
        <v>6.732576659826961E-3</v>
      </c>
      <c r="K669" s="37"/>
    </row>
    <row r="670" spans="3:11" x14ac:dyDescent="0.2">
      <c r="C670" s="21">
        <v>44074</v>
      </c>
      <c r="D670">
        <v>225.53</v>
      </c>
      <c r="E670">
        <v>3500.31</v>
      </c>
      <c r="F670">
        <v>28774.2</v>
      </c>
      <c r="I670" s="95">
        <f t="shared" si="21"/>
        <v>-1.4765628412913401E-2</v>
      </c>
      <c r="J670" s="95">
        <f t="shared" si="20"/>
        <v>-2.1949766391772263E-3</v>
      </c>
      <c r="K670" s="37"/>
    </row>
    <row r="671" spans="3:11" x14ac:dyDescent="0.2">
      <c r="C671" s="21">
        <v>44075</v>
      </c>
      <c r="D671">
        <v>227.27</v>
      </c>
      <c r="E671">
        <v>3526.65</v>
      </c>
      <c r="F671">
        <v>25791.200000000001</v>
      </c>
      <c r="I671" s="95">
        <f t="shared" si="21"/>
        <v>7.7151598456968173E-3</v>
      </c>
      <c r="J671" s="95">
        <f t="shared" si="20"/>
        <v>7.5250477814823302E-3</v>
      </c>
      <c r="K671" s="37"/>
    </row>
    <row r="672" spans="3:11" x14ac:dyDescent="0.2">
      <c r="C672" s="21">
        <v>44076</v>
      </c>
      <c r="D672">
        <v>231.65</v>
      </c>
      <c r="E672">
        <v>3580.84</v>
      </c>
      <c r="F672">
        <v>34080.800000000003</v>
      </c>
      <c r="I672" s="95">
        <f t="shared" si="21"/>
        <v>1.9272231266775242E-2</v>
      </c>
      <c r="J672" s="95">
        <f t="shared" si="20"/>
        <v>1.5365857116526938E-2</v>
      </c>
      <c r="K672" s="37"/>
    </row>
    <row r="673" spans="3:11" x14ac:dyDescent="0.2">
      <c r="C673" s="21">
        <v>44077</v>
      </c>
      <c r="D673">
        <v>217.3</v>
      </c>
      <c r="E673">
        <v>3455.06</v>
      </c>
      <c r="F673">
        <v>57646.8</v>
      </c>
      <c r="I673" s="95">
        <f t="shared" si="21"/>
        <v>-6.1946902654867242E-2</v>
      </c>
      <c r="J673" s="95">
        <f t="shared" si="20"/>
        <v>-3.5125836395929477E-2</v>
      </c>
      <c r="K673" s="37"/>
    </row>
    <row r="674" spans="3:11" x14ac:dyDescent="0.2">
      <c r="C674" s="21">
        <v>44078</v>
      </c>
      <c r="D674">
        <v>214.25</v>
      </c>
      <c r="E674">
        <v>3426.96</v>
      </c>
      <c r="F674">
        <v>59664.1</v>
      </c>
      <c r="I674" s="95">
        <f t="shared" si="21"/>
        <v>-1.4035895075931948E-2</v>
      </c>
      <c r="J674" s="95">
        <f t="shared" si="20"/>
        <v>-8.1329991374968769E-3</v>
      </c>
      <c r="K674" s="37"/>
    </row>
    <row r="675" spans="3:11" x14ac:dyDescent="0.2">
      <c r="C675" s="21">
        <v>44081</v>
      </c>
      <c r="D675">
        <v>214.25</v>
      </c>
      <c r="E675">
        <v>3426.96</v>
      </c>
      <c r="F675" t="e">
        <v>#N/A</v>
      </c>
      <c r="I675" s="95">
        <f t="shared" si="21"/>
        <v>0</v>
      </c>
      <c r="J675" s="95">
        <f t="shared" si="20"/>
        <v>0</v>
      </c>
      <c r="K675" s="37"/>
    </row>
    <row r="676" spans="3:11" x14ac:dyDescent="0.2">
      <c r="C676" s="21">
        <v>44082</v>
      </c>
      <c r="D676">
        <v>202.66</v>
      </c>
      <c r="E676">
        <v>3331.84</v>
      </c>
      <c r="F676">
        <v>52924.3</v>
      </c>
      <c r="I676" s="95">
        <f t="shared" si="21"/>
        <v>-5.4095682613768958E-2</v>
      </c>
      <c r="J676" s="95">
        <f t="shared" si="20"/>
        <v>-2.7756378831384043E-2</v>
      </c>
      <c r="K676" s="37"/>
    </row>
    <row r="677" spans="3:11" x14ac:dyDescent="0.2">
      <c r="C677" s="21">
        <v>44083</v>
      </c>
      <c r="D677">
        <v>211.29</v>
      </c>
      <c r="E677">
        <v>3398.96</v>
      </c>
      <c r="F677">
        <v>45679</v>
      </c>
      <c r="I677" s="95">
        <f t="shared" si="21"/>
        <v>4.2583637619658443E-2</v>
      </c>
      <c r="J677" s="95">
        <f t="shared" si="20"/>
        <v>2.0145024971186976E-2</v>
      </c>
      <c r="K677" s="37"/>
    </row>
    <row r="678" spans="3:11" x14ac:dyDescent="0.2">
      <c r="C678" s="21">
        <v>44084</v>
      </c>
      <c r="D678">
        <v>205.37</v>
      </c>
      <c r="E678">
        <v>3339.19</v>
      </c>
      <c r="F678">
        <v>35461.5</v>
      </c>
      <c r="I678" s="95">
        <f t="shared" si="21"/>
        <v>-2.8018363386814293E-2</v>
      </c>
      <c r="J678" s="95">
        <f t="shared" si="20"/>
        <v>-1.7584790641843373E-2</v>
      </c>
      <c r="K678" s="37"/>
    </row>
    <row r="679" spans="3:11" x14ac:dyDescent="0.2">
      <c r="C679" s="21">
        <v>44085</v>
      </c>
      <c r="D679">
        <v>204.03</v>
      </c>
      <c r="E679">
        <v>3340.97</v>
      </c>
      <c r="F679">
        <v>33620.1</v>
      </c>
      <c r="I679" s="95">
        <f t="shared" si="21"/>
        <v>-6.5248088815309524E-3</v>
      </c>
      <c r="J679" s="95">
        <f t="shared" si="20"/>
        <v>5.3306340759284865E-4</v>
      </c>
      <c r="K679" s="37"/>
    </row>
    <row r="680" spans="3:11" x14ac:dyDescent="0.2">
      <c r="C680" s="21">
        <v>44088</v>
      </c>
      <c r="D680">
        <v>205.41</v>
      </c>
      <c r="E680">
        <v>3383.54</v>
      </c>
      <c r="F680">
        <v>30375.8</v>
      </c>
      <c r="I680" s="95">
        <f t="shared" si="21"/>
        <v>6.763711218938262E-3</v>
      </c>
      <c r="J680" s="95">
        <f t="shared" si="20"/>
        <v>1.274180851668838E-2</v>
      </c>
      <c r="K680" s="37"/>
    </row>
    <row r="681" spans="3:11" x14ac:dyDescent="0.2">
      <c r="C681" s="21">
        <v>44089</v>
      </c>
      <c r="D681">
        <v>208.78</v>
      </c>
      <c r="E681">
        <v>3401.2</v>
      </c>
      <c r="F681">
        <v>21823.9</v>
      </c>
      <c r="I681" s="95">
        <f t="shared" si="21"/>
        <v>1.6406211966311313E-2</v>
      </c>
      <c r="J681" s="95">
        <f t="shared" si="20"/>
        <v>5.2193856138835759E-3</v>
      </c>
      <c r="K681" s="37"/>
    </row>
    <row r="682" spans="3:11" x14ac:dyDescent="0.2">
      <c r="C682" s="21">
        <v>44090</v>
      </c>
      <c r="D682">
        <v>205.05</v>
      </c>
      <c r="E682">
        <v>3385.49</v>
      </c>
      <c r="F682">
        <v>26372.5</v>
      </c>
      <c r="I682" s="95">
        <f t="shared" si="21"/>
        <v>-1.7865695947887672E-2</v>
      </c>
      <c r="J682" s="95">
        <f t="shared" si="20"/>
        <v>-4.6189580148182641E-3</v>
      </c>
      <c r="K682" s="37"/>
    </row>
    <row r="683" spans="3:11" x14ac:dyDescent="0.2">
      <c r="C683" s="21">
        <v>44091</v>
      </c>
      <c r="D683">
        <v>202.91</v>
      </c>
      <c r="E683">
        <v>3357.01</v>
      </c>
      <c r="F683">
        <v>34011.300000000003</v>
      </c>
      <c r="I683" s="95">
        <f t="shared" si="21"/>
        <v>-1.0436478907583591E-2</v>
      </c>
      <c r="J683" s="95">
        <f t="shared" si="20"/>
        <v>-8.4123716212423094E-3</v>
      </c>
      <c r="K683" s="37"/>
    </row>
    <row r="684" spans="3:11" x14ac:dyDescent="0.2">
      <c r="C684" s="21">
        <v>44092</v>
      </c>
      <c r="D684">
        <v>200.39</v>
      </c>
      <c r="E684">
        <v>3319.47</v>
      </c>
      <c r="F684">
        <v>55225.3</v>
      </c>
      <c r="I684" s="95">
        <f t="shared" si="21"/>
        <v>-1.2419299196688272E-2</v>
      </c>
      <c r="J684" s="95">
        <f t="shared" si="20"/>
        <v>-1.1182570203842279E-2</v>
      </c>
      <c r="K684" s="37"/>
    </row>
    <row r="685" spans="3:11" x14ac:dyDescent="0.2">
      <c r="C685" s="21">
        <v>44095</v>
      </c>
      <c r="D685">
        <v>202.54</v>
      </c>
      <c r="E685">
        <v>3281.06</v>
      </c>
      <c r="F685">
        <v>39839.699999999997</v>
      </c>
      <c r="I685" s="95">
        <f t="shared" si="21"/>
        <v>1.0729078297320171E-2</v>
      </c>
      <c r="J685" s="95">
        <f t="shared" si="20"/>
        <v>-1.1571124305988612E-2</v>
      </c>
      <c r="K685" s="37"/>
    </row>
    <row r="686" spans="3:11" x14ac:dyDescent="0.2">
      <c r="C686" s="21">
        <v>44096</v>
      </c>
      <c r="D686">
        <v>207.42</v>
      </c>
      <c r="E686">
        <v>3315.57</v>
      </c>
      <c r="F686">
        <v>33517.1</v>
      </c>
      <c r="I686" s="95">
        <f t="shared" si="21"/>
        <v>2.4094006122247436E-2</v>
      </c>
      <c r="J686" s="95">
        <f t="shared" si="20"/>
        <v>1.0517942372282096E-2</v>
      </c>
      <c r="K686" s="37"/>
    </row>
    <row r="687" spans="3:11" x14ac:dyDescent="0.2">
      <c r="C687" s="21">
        <v>44097</v>
      </c>
      <c r="D687">
        <v>200.59</v>
      </c>
      <c r="E687">
        <v>3236.92</v>
      </c>
      <c r="F687">
        <v>30803.8</v>
      </c>
      <c r="I687" s="95">
        <f t="shared" si="21"/>
        <v>-3.2928357921126139E-2</v>
      </c>
      <c r="J687" s="95">
        <f t="shared" si="20"/>
        <v>-2.3721411401357861E-2</v>
      </c>
      <c r="K687" s="37"/>
    </row>
    <row r="688" spans="3:11" x14ac:dyDescent="0.2">
      <c r="C688" s="21">
        <v>44098</v>
      </c>
      <c r="D688">
        <v>203.19</v>
      </c>
      <c r="E688">
        <v>3246.59</v>
      </c>
      <c r="F688">
        <v>31202.5</v>
      </c>
      <c r="I688" s="95">
        <f t="shared" si="21"/>
        <v>1.2961762799740706E-2</v>
      </c>
      <c r="J688" s="95">
        <f t="shared" si="20"/>
        <v>2.9874077827070078E-3</v>
      </c>
      <c r="K688" s="37"/>
    </row>
    <row r="689" spans="3:11" x14ac:dyDescent="0.2">
      <c r="C689" s="21">
        <v>44099</v>
      </c>
      <c r="D689">
        <v>207.82</v>
      </c>
      <c r="E689">
        <v>3298.46</v>
      </c>
      <c r="F689">
        <v>29437.3</v>
      </c>
      <c r="I689" s="95">
        <f t="shared" si="21"/>
        <v>2.2786554456420083E-2</v>
      </c>
      <c r="J689" s="95">
        <f t="shared" si="20"/>
        <v>1.5976763311659203E-2</v>
      </c>
      <c r="K689" s="37"/>
    </row>
    <row r="690" spans="3:11" x14ac:dyDescent="0.2">
      <c r="C690" s="21">
        <v>44102</v>
      </c>
      <c r="D690">
        <v>209.44</v>
      </c>
      <c r="E690">
        <v>3351.6</v>
      </c>
      <c r="F690">
        <v>32004.9</v>
      </c>
      <c r="I690" s="95">
        <f t="shared" si="21"/>
        <v>7.7952073910114716E-3</v>
      </c>
      <c r="J690" s="95">
        <f t="shared" si="20"/>
        <v>1.6110548559024496E-2</v>
      </c>
      <c r="K690" s="37"/>
    </row>
    <row r="691" spans="3:11" x14ac:dyDescent="0.2">
      <c r="C691" s="21">
        <v>44103</v>
      </c>
      <c r="D691">
        <v>207.26</v>
      </c>
      <c r="E691">
        <v>3335.47</v>
      </c>
      <c r="F691">
        <v>24464.5</v>
      </c>
      <c r="I691" s="95">
        <f t="shared" si="21"/>
        <v>-1.0408708938120736E-2</v>
      </c>
      <c r="J691" s="95">
        <f t="shared" si="20"/>
        <v>-4.8126268051080778E-3</v>
      </c>
      <c r="K691" s="37"/>
    </row>
    <row r="692" spans="3:11" x14ac:dyDescent="0.2">
      <c r="C692" s="21">
        <v>44104</v>
      </c>
      <c r="D692">
        <v>210.33</v>
      </c>
      <c r="E692">
        <v>3363</v>
      </c>
      <c r="F692">
        <v>33829.1</v>
      </c>
      <c r="I692" s="95">
        <f t="shared" si="21"/>
        <v>1.4812313036765445E-2</v>
      </c>
      <c r="J692" s="95">
        <f t="shared" si="20"/>
        <v>8.2537093722925281E-3</v>
      </c>
      <c r="K692" s="37"/>
    </row>
    <row r="693" spans="3:11" x14ac:dyDescent="0.2">
      <c r="C693" s="21">
        <v>44105</v>
      </c>
      <c r="D693">
        <v>212.46</v>
      </c>
      <c r="E693">
        <v>3380.8</v>
      </c>
      <c r="F693">
        <v>27158.400000000001</v>
      </c>
      <c r="I693" s="95">
        <f t="shared" si="21"/>
        <v>1.0126943374696884E-2</v>
      </c>
      <c r="J693" s="95">
        <f t="shared" si="20"/>
        <v>5.2928932500744263E-3</v>
      </c>
      <c r="K693" s="37"/>
    </row>
    <row r="694" spans="3:11" x14ac:dyDescent="0.2">
      <c r="C694" s="21">
        <v>44106</v>
      </c>
      <c r="D694">
        <v>206.19</v>
      </c>
      <c r="E694">
        <v>3348.44</v>
      </c>
      <c r="F694">
        <v>33154.800000000003</v>
      </c>
      <c r="I694" s="95">
        <f t="shared" si="21"/>
        <v>-2.9511437447048872E-2</v>
      </c>
      <c r="J694" s="95">
        <f t="shared" si="20"/>
        <v>-9.571699006152401E-3</v>
      </c>
      <c r="K694" s="37"/>
    </row>
    <row r="695" spans="3:11" x14ac:dyDescent="0.2">
      <c r="C695" s="21">
        <v>44109</v>
      </c>
      <c r="D695">
        <v>210.38</v>
      </c>
      <c r="E695">
        <v>3408.63</v>
      </c>
      <c r="F695">
        <v>21331.599999999999</v>
      </c>
      <c r="I695" s="95">
        <f t="shared" si="21"/>
        <v>2.0321063097143321E-2</v>
      </c>
      <c r="J695" s="95">
        <f t="shared" si="20"/>
        <v>1.7975534875942278E-2</v>
      </c>
      <c r="K695" s="37"/>
    </row>
    <row r="696" spans="3:11" x14ac:dyDescent="0.2">
      <c r="C696" s="21">
        <v>44110</v>
      </c>
      <c r="D696">
        <v>205.91</v>
      </c>
      <c r="E696">
        <v>3360.95</v>
      </c>
      <c r="F696">
        <v>28554.3</v>
      </c>
      <c r="I696" s="95">
        <f t="shared" si="21"/>
        <v>-2.1247266850461077E-2</v>
      </c>
      <c r="J696" s="95">
        <f t="shared" si="20"/>
        <v>-1.3988024514247743E-2</v>
      </c>
      <c r="K696" s="37"/>
    </row>
    <row r="697" spans="3:11" x14ac:dyDescent="0.2">
      <c r="C697" s="21">
        <v>44111</v>
      </c>
      <c r="D697">
        <v>209.83</v>
      </c>
      <c r="E697">
        <v>3419.45</v>
      </c>
      <c r="F697">
        <v>25681.1</v>
      </c>
      <c r="I697" s="95">
        <f t="shared" si="21"/>
        <v>1.9037443543295618E-2</v>
      </c>
      <c r="J697" s="95">
        <f t="shared" si="20"/>
        <v>1.740579300495404E-2</v>
      </c>
      <c r="K697" s="37"/>
    </row>
    <row r="698" spans="3:11" x14ac:dyDescent="0.2">
      <c r="C698" s="21">
        <v>44112</v>
      </c>
      <c r="D698">
        <v>210.58</v>
      </c>
      <c r="E698">
        <v>3446.83</v>
      </c>
      <c r="F698">
        <v>19925.8</v>
      </c>
      <c r="I698" s="95">
        <f t="shared" si="21"/>
        <v>3.5743220702473266E-3</v>
      </c>
      <c r="J698" s="95">
        <f t="shared" si="20"/>
        <v>8.0071356504700653E-3</v>
      </c>
      <c r="K698" s="37"/>
    </row>
    <row r="699" spans="3:11" x14ac:dyDescent="0.2">
      <c r="C699" s="21">
        <v>44113</v>
      </c>
      <c r="D699">
        <v>215.81</v>
      </c>
      <c r="E699">
        <v>3477.13</v>
      </c>
      <c r="F699">
        <v>26458</v>
      </c>
      <c r="I699" s="95">
        <f t="shared" si="21"/>
        <v>2.4836166777471691E-2</v>
      </c>
      <c r="J699" s="95">
        <f t="shared" si="20"/>
        <v>8.7906859346125188E-3</v>
      </c>
      <c r="K699" s="37"/>
    </row>
    <row r="700" spans="3:11" x14ac:dyDescent="0.2">
      <c r="C700" s="21">
        <v>44116</v>
      </c>
      <c r="D700">
        <v>221.4</v>
      </c>
      <c r="E700">
        <v>3534.22</v>
      </c>
      <c r="F700">
        <v>40461.4</v>
      </c>
      <c r="I700" s="95">
        <f t="shared" si="21"/>
        <v>2.5902414160604348E-2</v>
      </c>
      <c r="J700" s="95">
        <f t="shared" si="20"/>
        <v>1.6418713134107588E-2</v>
      </c>
      <c r="K700" s="37"/>
    </row>
    <row r="701" spans="3:11" x14ac:dyDescent="0.2">
      <c r="C701" s="21">
        <v>44117</v>
      </c>
      <c r="D701">
        <v>222.86</v>
      </c>
      <c r="E701">
        <v>3511.93</v>
      </c>
      <c r="F701">
        <v>28950.799999999999</v>
      </c>
      <c r="I701" s="95">
        <f t="shared" si="21"/>
        <v>6.5943992773260796E-3</v>
      </c>
      <c r="J701" s="95">
        <f t="shared" si="20"/>
        <v>-6.3069078891523356E-3</v>
      </c>
      <c r="K701" s="37"/>
    </row>
    <row r="702" spans="3:11" x14ac:dyDescent="0.2">
      <c r="C702" s="21">
        <v>44118</v>
      </c>
      <c r="D702">
        <v>220.86</v>
      </c>
      <c r="E702">
        <v>3488.67</v>
      </c>
      <c r="F702">
        <v>23451.7</v>
      </c>
      <c r="I702" s="95">
        <f t="shared" si="21"/>
        <v>-8.9742439199497204E-3</v>
      </c>
      <c r="J702" s="95">
        <f t="shared" si="20"/>
        <v>-6.623138843883547E-3</v>
      </c>
      <c r="K702" s="37"/>
    </row>
    <row r="703" spans="3:11" x14ac:dyDescent="0.2">
      <c r="C703" s="21">
        <v>44119</v>
      </c>
      <c r="D703">
        <v>219.66</v>
      </c>
      <c r="E703">
        <v>3483.34</v>
      </c>
      <c r="F703">
        <v>22733.1</v>
      </c>
      <c r="I703" s="95">
        <f t="shared" si="21"/>
        <v>-5.4333061668025984E-3</v>
      </c>
      <c r="J703" s="95">
        <f t="shared" si="20"/>
        <v>-1.5278028589691406E-3</v>
      </c>
      <c r="K703" s="37"/>
    </row>
    <row r="704" spans="3:11" x14ac:dyDescent="0.2">
      <c r="C704" s="21">
        <v>44120</v>
      </c>
      <c r="D704">
        <v>219.66</v>
      </c>
      <c r="E704">
        <v>3483.81</v>
      </c>
      <c r="F704">
        <v>26057.9</v>
      </c>
      <c r="I704" s="95">
        <f t="shared" si="21"/>
        <v>0</v>
      </c>
      <c r="J704" s="95">
        <f t="shared" si="20"/>
        <v>1.3492797142955482E-4</v>
      </c>
      <c r="K704" s="37"/>
    </row>
    <row r="705" spans="3:11" x14ac:dyDescent="0.2">
      <c r="C705" s="21">
        <v>44123</v>
      </c>
      <c r="D705">
        <v>214.22</v>
      </c>
      <c r="E705">
        <v>3426.92</v>
      </c>
      <c r="F705">
        <v>27625.8</v>
      </c>
      <c r="I705" s="95">
        <f t="shared" si="21"/>
        <v>-2.4765546754074497E-2</v>
      </c>
      <c r="J705" s="95">
        <f t="shared" si="20"/>
        <v>-1.6329822808936134E-2</v>
      </c>
      <c r="K705" s="37"/>
    </row>
    <row r="706" spans="3:11" x14ac:dyDescent="0.2">
      <c r="C706" s="21">
        <v>44124</v>
      </c>
      <c r="D706">
        <v>214.65</v>
      </c>
      <c r="E706">
        <v>3443.12</v>
      </c>
      <c r="F706">
        <v>22753.5</v>
      </c>
      <c r="I706" s="95">
        <f t="shared" si="21"/>
        <v>2.0072822332182216E-3</v>
      </c>
      <c r="J706" s="95">
        <f t="shared" si="20"/>
        <v>4.7272769717412455E-3</v>
      </c>
      <c r="K706" s="37"/>
    </row>
    <row r="707" spans="3:11" x14ac:dyDescent="0.2">
      <c r="C707" s="21">
        <v>44125</v>
      </c>
      <c r="D707">
        <v>214.8</v>
      </c>
      <c r="E707">
        <v>3435.56</v>
      </c>
      <c r="F707">
        <v>22724.9</v>
      </c>
      <c r="I707" s="95">
        <f t="shared" si="21"/>
        <v>6.9881201956678574E-4</v>
      </c>
      <c r="J707" s="95">
        <f t="shared" si="20"/>
        <v>-2.1956829851994542E-3</v>
      </c>
      <c r="K707" s="37"/>
    </row>
    <row r="708" spans="3:11" x14ac:dyDescent="0.2">
      <c r="C708" s="21">
        <v>44126</v>
      </c>
      <c r="D708">
        <v>214.89</v>
      </c>
      <c r="E708">
        <v>3453.49</v>
      </c>
      <c r="F708">
        <v>22351.4</v>
      </c>
      <c r="I708" s="95">
        <f t="shared" si="21"/>
        <v>4.1899441340764731E-4</v>
      </c>
      <c r="J708" s="95">
        <f t="shared" si="20"/>
        <v>5.2189453829942778E-3</v>
      </c>
      <c r="K708" s="37"/>
    </row>
    <row r="709" spans="3:11" x14ac:dyDescent="0.2">
      <c r="C709" s="21">
        <v>44127</v>
      </c>
      <c r="D709">
        <v>216.23</v>
      </c>
      <c r="E709">
        <v>3465.39</v>
      </c>
      <c r="F709">
        <v>18879.599999999999</v>
      </c>
      <c r="I709" s="95">
        <f t="shared" si="21"/>
        <v>6.2357485224999731E-3</v>
      </c>
      <c r="J709" s="95">
        <f t="shared" ref="J709:J772" si="22">E709/E708-1</f>
        <v>3.4457896215134287E-3</v>
      </c>
      <c r="K709" s="37"/>
    </row>
    <row r="710" spans="3:11" x14ac:dyDescent="0.2">
      <c r="C710" s="21">
        <v>44130</v>
      </c>
      <c r="D710">
        <v>210.08</v>
      </c>
      <c r="E710">
        <v>3400.97</v>
      </c>
      <c r="F710">
        <v>37111.599999999999</v>
      </c>
      <c r="I710" s="95">
        <f t="shared" ref="I710:I773" si="23">D710/D709-1</f>
        <v>-2.8441936826527181E-2</v>
      </c>
      <c r="J710" s="95">
        <f t="shared" si="22"/>
        <v>-1.8589538262648642E-2</v>
      </c>
      <c r="K710" s="37"/>
    </row>
    <row r="711" spans="3:11" x14ac:dyDescent="0.2">
      <c r="C711" s="21">
        <v>44131</v>
      </c>
      <c r="D711">
        <v>213.25</v>
      </c>
      <c r="E711">
        <v>3390.68</v>
      </c>
      <c r="F711">
        <v>36700.300000000003</v>
      </c>
      <c r="I711" s="95">
        <f t="shared" si="23"/>
        <v>1.5089489718202564E-2</v>
      </c>
      <c r="J711" s="95">
        <f t="shared" si="22"/>
        <v>-3.0256074002417144E-3</v>
      </c>
      <c r="K711" s="37"/>
    </row>
    <row r="712" spans="3:11" x14ac:dyDescent="0.2">
      <c r="C712" s="21">
        <v>44132</v>
      </c>
      <c r="D712">
        <v>202.68</v>
      </c>
      <c r="E712">
        <v>3271.03</v>
      </c>
      <c r="F712">
        <v>51195.6</v>
      </c>
      <c r="I712" s="95">
        <f t="shared" si="23"/>
        <v>-4.9566236811254383E-2</v>
      </c>
      <c r="J712" s="95">
        <f t="shared" si="22"/>
        <v>-3.5287906850543171E-2</v>
      </c>
      <c r="K712" s="37"/>
    </row>
    <row r="713" spans="3:11" x14ac:dyDescent="0.2">
      <c r="C713" s="21">
        <v>44133</v>
      </c>
      <c r="D713">
        <v>204.72</v>
      </c>
      <c r="E713">
        <v>3310.11</v>
      </c>
      <c r="F713">
        <v>31432.6</v>
      </c>
      <c r="I713" s="95">
        <f t="shared" si="23"/>
        <v>1.0065127294256904E-2</v>
      </c>
      <c r="J713" s="95">
        <f t="shared" si="22"/>
        <v>1.1947307117329942E-2</v>
      </c>
      <c r="K713" s="37"/>
    </row>
    <row r="714" spans="3:11" x14ac:dyDescent="0.2">
      <c r="C714" s="21">
        <v>44134</v>
      </c>
      <c r="D714">
        <v>202.47</v>
      </c>
      <c r="E714">
        <v>3269.96</v>
      </c>
      <c r="F714">
        <v>36980.1</v>
      </c>
      <c r="I714" s="95">
        <f t="shared" si="23"/>
        <v>-1.0990621336459561E-2</v>
      </c>
      <c r="J714" s="95">
        <f t="shared" si="22"/>
        <v>-1.2129506270184387E-2</v>
      </c>
      <c r="K714" s="37"/>
    </row>
    <row r="715" spans="3:11" x14ac:dyDescent="0.2">
      <c r="C715" s="21">
        <v>44137</v>
      </c>
      <c r="D715">
        <v>202.33</v>
      </c>
      <c r="E715">
        <v>3310.24</v>
      </c>
      <c r="F715">
        <v>30842.2</v>
      </c>
      <c r="I715" s="95">
        <f t="shared" si="23"/>
        <v>-6.9146046327839272E-4</v>
      </c>
      <c r="J715" s="95">
        <f t="shared" si="22"/>
        <v>1.231819349472163E-2</v>
      </c>
      <c r="K715" s="37"/>
    </row>
    <row r="716" spans="3:11" x14ac:dyDescent="0.2">
      <c r="C716" s="21">
        <v>44138</v>
      </c>
      <c r="D716">
        <v>206.43</v>
      </c>
      <c r="E716">
        <v>3369.16</v>
      </c>
      <c r="F716">
        <v>27512</v>
      </c>
      <c r="I716" s="95">
        <f t="shared" si="23"/>
        <v>2.0263925270597616E-2</v>
      </c>
      <c r="J716" s="95">
        <f t="shared" si="22"/>
        <v>1.7799313644932147E-2</v>
      </c>
      <c r="K716" s="37"/>
    </row>
    <row r="717" spans="3:11" x14ac:dyDescent="0.2">
      <c r="C717" s="21">
        <v>44139</v>
      </c>
      <c r="D717">
        <v>216.39</v>
      </c>
      <c r="E717">
        <v>3443.44</v>
      </c>
      <c r="F717">
        <v>42311.8</v>
      </c>
      <c r="I717" s="95">
        <f t="shared" si="23"/>
        <v>4.8248801046359535E-2</v>
      </c>
      <c r="J717" s="95">
        <f t="shared" si="22"/>
        <v>2.2047038430944355E-2</v>
      </c>
      <c r="K717" s="37"/>
    </row>
    <row r="718" spans="3:11" x14ac:dyDescent="0.2">
      <c r="C718" s="21">
        <v>44140</v>
      </c>
      <c r="D718">
        <v>223.29</v>
      </c>
      <c r="E718">
        <v>3510.45</v>
      </c>
      <c r="F718">
        <v>36080.1</v>
      </c>
      <c r="I718" s="95">
        <f t="shared" si="23"/>
        <v>3.1886870927491984E-2</v>
      </c>
      <c r="J718" s="95">
        <f t="shared" si="22"/>
        <v>1.9460190971818836E-2</v>
      </c>
      <c r="K718" s="37"/>
    </row>
    <row r="719" spans="3:11" x14ac:dyDescent="0.2">
      <c r="C719" s="21">
        <v>44141</v>
      </c>
      <c r="D719">
        <v>223.72</v>
      </c>
      <c r="E719">
        <v>3509.44</v>
      </c>
      <c r="F719">
        <v>25231.9</v>
      </c>
      <c r="I719" s="95">
        <f t="shared" si="23"/>
        <v>1.9257467866899969E-3</v>
      </c>
      <c r="J719" s="95">
        <f t="shared" si="22"/>
        <v>-2.8771240154390476E-4</v>
      </c>
      <c r="K719" s="37"/>
    </row>
    <row r="720" spans="3:11" x14ac:dyDescent="0.2">
      <c r="C720" s="21">
        <v>44144</v>
      </c>
      <c r="D720">
        <v>218.39</v>
      </c>
      <c r="E720">
        <v>3550.5</v>
      </c>
      <c r="F720">
        <v>44394.9</v>
      </c>
      <c r="I720" s="95">
        <f t="shared" si="23"/>
        <v>-2.3824423386375915E-2</v>
      </c>
      <c r="J720" s="95">
        <f t="shared" si="22"/>
        <v>1.1699872344305584E-2</v>
      </c>
      <c r="K720" s="37"/>
    </row>
    <row r="721" spans="3:11" x14ac:dyDescent="0.2">
      <c r="C721" s="21">
        <v>44145</v>
      </c>
      <c r="D721">
        <v>211.01</v>
      </c>
      <c r="E721">
        <v>3545.53</v>
      </c>
      <c r="F721">
        <v>44045.1</v>
      </c>
      <c r="I721" s="95">
        <f t="shared" si="23"/>
        <v>-3.3792756078575015E-2</v>
      </c>
      <c r="J721" s="95">
        <f t="shared" si="22"/>
        <v>-1.3998028446696731E-3</v>
      </c>
      <c r="K721" s="37"/>
    </row>
    <row r="722" spans="3:11" x14ac:dyDescent="0.2">
      <c r="C722" s="21">
        <v>44146</v>
      </c>
      <c r="D722">
        <v>216.55</v>
      </c>
      <c r="E722">
        <v>3572.66</v>
      </c>
      <c r="F722">
        <v>29440.799999999999</v>
      </c>
      <c r="I722" s="95">
        <f t="shared" si="23"/>
        <v>2.6254679872991904E-2</v>
      </c>
      <c r="J722" s="95">
        <f t="shared" si="22"/>
        <v>7.6518884341691962E-3</v>
      </c>
      <c r="K722" s="37"/>
    </row>
    <row r="723" spans="3:11" x14ac:dyDescent="0.2">
      <c r="C723" s="21">
        <v>44147</v>
      </c>
      <c r="D723">
        <v>215.44</v>
      </c>
      <c r="E723">
        <v>3537.01</v>
      </c>
      <c r="F723">
        <v>21616.1</v>
      </c>
      <c r="I723" s="95">
        <f t="shared" si="23"/>
        <v>-5.125836989148036E-3</v>
      </c>
      <c r="J723" s="95">
        <f t="shared" si="22"/>
        <v>-9.9785593927212979E-3</v>
      </c>
      <c r="K723" s="37"/>
    </row>
    <row r="724" spans="3:11" x14ac:dyDescent="0.2">
      <c r="C724" s="21">
        <v>44148</v>
      </c>
      <c r="D724">
        <v>216.51</v>
      </c>
      <c r="E724">
        <v>3585.15</v>
      </c>
      <c r="F724">
        <v>18630.3</v>
      </c>
      <c r="I724" s="95">
        <f t="shared" si="23"/>
        <v>4.9665800222800094E-3</v>
      </c>
      <c r="J724" s="95">
        <f t="shared" si="22"/>
        <v>1.3610365817456005E-2</v>
      </c>
      <c r="K724" s="37"/>
    </row>
    <row r="725" spans="3:11" x14ac:dyDescent="0.2">
      <c r="C725" s="21">
        <v>44151</v>
      </c>
      <c r="D725">
        <v>217.23</v>
      </c>
      <c r="E725">
        <v>3626.91</v>
      </c>
      <c r="F725">
        <v>24953.3</v>
      </c>
      <c r="I725" s="95">
        <f t="shared" si="23"/>
        <v>3.3254815020091755E-3</v>
      </c>
      <c r="J725" s="95">
        <f t="shared" si="22"/>
        <v>1.1648048198820149E-2</v>
      </c>
      <c r="K725" s="37"/>
    </row>
    <row r="726" spans="3:11" x14ac:dyDescent="0.2">
      <c r="C726" s="21">
        <v>44152</v>
      </c>
      <c r="D726">
        <v>214.46</v>
      </c>
      <c r="E726">
        <v>3609.53</v>
      </c>
      <c r="F726">
        <v>24154.1</v>
      </c>
      <c r="I726" s="95">
        <f t="shared" si="23"/>
        <v>-1.2751461584495583E-2</v>
      </c>
      <c r="J726" s="95">
        <f t="shared" si="22"/>
        <v>-4.7919578925310624E-3</v>
      </c>
      <c r="K726" s="37"/>
    </row>
    <row r="727" spans="3:11" x14ac:dyDescent="0.2">
      <c r="C727" s="21">
        <v>44153</v>
      </c>
      <c r="D727">
        <v>211.08</v>
      </c>
      <c r="E727">
        <v>3567.79</v>
      </c>
      <c r="F727">
        <v>28372.799999999999</v>
      </c>
      <c r="I727" s="95">
        <f t="shared" si="23"/>
        <v>-1.576051478131113E-2</v>
      </c>
      <c r="J727" s="95">
        <f t="shared" si="22"/>
        <v>-1.156383241031389E-2</v>
      </c>
      <c r="K727" s="37"/>
    </row>
    <row r="728" spans="3:11" x14ac:dyDescent="0.2">
      <c r="C728" s="21">
        <v>44154</v>
      </c>
      <c r="D728">
        <v>212.42</v>
      </c>
      <c r="E728">
        <v>3581.87</v>
      </c>
      <c r="F728">
        <v>24792.7</v>
      </c>
      <c r="I728" s="95">
        <f t="shared" si="23"/>
        <v>6.3483039605836122E-3</v>
      </c>
      <c r="J728" s="95">
        <f t="shared" si="22"/>
        <v>3.9464206133208446E-3</v>
      </c>
      <c r="K728" s="37"/>
    </row>
    <row r="729" spans="3:11" x14ac:dyDescent="0.2">
      <c r="C729" s="21">
        <v>44155</v>
      </c>
      <c r="D729">
        <v>210.39</v>
      </c>
      <c r="E729">
        <v>3557.54</v>
      </c>
      <c r="F729">
        <v>22843.1</v>
      </c>
      <c r="I729" s="95">
        <f t="shared" si="23"/>
        <v>-9.5565389323039041E-3</v>
      </c>
      <c r="J729" s="95">
        <f t="shared" si="22"/>
        <v>-6.7925413261787915E-3</v>
      </c>
      <c r="K729" s="37"/>
    </row>
    <row r="730" spans="3:11" x14ac:dyDescent="0.2">
      <c r="C730" s="21">
        <v>44158</v>
      </c>
      <c r="D730">
        <v>210.11</v>
      </c>
      <c r="E730">
        <v>3577.59</v>
      </c>
      <c r="F730">
        <v>25683.5</v>
      </c>
      <c r="I730" s="95">
        <f t="shared" si="23"/>
        <v>-1.3308617329719219E-3</v>
      </c>
      <c r="J730" s="95">
        <f t="shared" si="22"/>
        <v>5.6359169538502396E-3</v>
      </c>
      <c r="K730" s="37"/>
    </row>
    <row r="731" spans="3:11" x14ac:dyDescent="0.2">
      <c r="C731" s="21">
        <v>44159</v>
      </c>
      <c r="D731">
        <v>213.86</v>
      </c>
      <c r="E731">
        <v>3635.41</v>
      </c>
      <c r="F731">
        <v>33979.699999999997</v>
      </c>
      <c r="I731" s="95">
        <f t="shared" si="23"/>
        <v>1.7847794012660012E-2</v>
      </c>
      <c r="J731" s="95">
        <f t="shared" si="22"/>
        <v>1.6161717804443754E-2</v>
      </c>
      <c r="K731" s="37"/>
    </row>
    <row r="732" spans="3:11" x14ac:dyDescent="0.2">
      <c r="C732" s="21">
        <v>44160</v>
      </c>
      <c r="D732">
        <v>213.87</v>
      </c>
      <c r="E732">
        <v>3629.65</v>
      </c>
      <c r="F732">
        <v>21012.9</v>
      </c>
      <c r="I732" s="95">
        <f t="shared" si="23"/>
        <v>4.6759562330356275E-5</v>
      </c>
      <c r="J732" s="95">
        <f t="shared" si="22"/>
        <v>-1.5844155129681736E-3</v>
      </c>
      <c r="K732" s="37"/>
    </row>
    <row r="733" spans="3:11" x14ac:dyDescent="0.2">
      <c r="C733" s="21">
        <v>44161</v>
      </c>
      <c r="D733">
        <v>213.87</v>
      </c>
      <c r="E733">
        <v>3629.65</v>
      </c>
      <c r="F733" t="e">
        <v>#N/A</v>
      </c>
      <c r="I733" s="95">
        <f t="shared" si="23"/>
        <v>0</v>
      </c>
      <c r="J733" s="95">
        <f t="shared" si="22"/>
        <v>0</v>
      </c>
      <c r="K733" s="37"/>
    </row>
    <row r="734" spans="3:11" x14ac:dyDescent="0.2">
      <c r="C734" s="21">
        <v>44162</v>
      </c>
      <c r="D734">
        <v>215.23</v>
      </c>
      <c r="E734">
        <v>3638.35</v>
      </c>
      <c r="F734">
        <v>14512.2</v>
      </c>
      <c r="I734" s="95">
        <f t="shared" si="23"/>
        <v>6.3590031327440677E-3</v>
      </c>
      <c r="J734" s="95">
        <f t="shared" si="22"/>
        <v>2.3969253233782073E-3</v>
      </c>
      <c r="K734" s="37"/>
    </row>
    <row r="735" spans="3:11" x14ac:dyDescent="0.2">
      <c r="C735" s="21">
        <v>44165</v>
      </c>
      <c r="D735">
        <v>214.07</v>
      </c>
      <c r="E735">
        <v>3621.63</v>
      </c>
      <c r="F735">
        <v>33064.800000000003</v>
      </c>
      <c r="I735" s="95">
        <f t="shared" si="23"/>
        <v>-5.3895832365375984E-3</v>
      </c>
      <c r="J735" s="95">
        <f t="shared" si="22"/>
        <v>-4.5954897137437944E-3</v>
      </c>
      <c r="K735" s="37"/>
    </row>
    <row r="736" spans="3:11" x14ac:dyDescent="0.2">
      <c r="C736" s="21">
        <v>44166</v>
      </c>
      <c r="D736">
        <v>216.21</v>
      </c>
      <c r="E736">
        <v>3662.45</v>
      </c>
      <c r="F736">
        <v>30931.3</v>
      </c>
      <c r="I736" s="95">
        <f t="shared" si="23"/>
        <v>9.996730041575308E-3</v>
      </c>
      <c r="J736" s="95">
        <f t="shared" si="22"/>
        <v>1.1271167954760575E-2</v>
      </c>
      <c r="K736" s="37"/>
    </row>
    <row r="737" spans="3:11" x14ac:dyDescent="0.2">
      <c r="C737" s="21">
        <v>44167</v>
      </c>
      <c r="D737">
        <v>215.37</v>
      </c>
      <c r="E737">
        <v>3669.01</v>
      </c>
      <c r="F737">
        <v>23724.5</v>
      </c>
      <c r="I737" s="95">
        <f t="shared" si="23"/>
        <v>-3.8851116969612631E-3</v>
      </c>
      <c r="J737" s="95">
        <f t="shared" si="22"/>
        <v>1.7911507324332998E-3</v>
      </c>
      <c r="K737" s="37"/>
    </row>
    <row r="738" spans="3:11" x14ac:dyDescent="0.2">
      <c r="C738" s="21">
        <v>44168</v>
      </c>
      <c r="D738">
        <v>214.24</v>
      </c>
      <c r="E738">
        <v>3666.72</v>
      </c>
      <c r="F738">
        <v>25120.9</v>
      </c>
      <c r="I738" s="95">
        <f t="shared" si="23"/>
        <v>-5.246784603240906E-3</v>
      </c>
      <c r="J738" s="95">
        <f t="shared" si="22"/>
        <v>-6.241465681479097E-4</v>
      </c>
      <c r="K738" s="37"/>
    </row>
    <row r="739" spans="3:11" x14ac:dyDescent="0.2">
      <c r="C739" s="21">
        <v>44169</v>
      </c>
      <c r="D739">
        <v>214.36</v>
      </c>
      <c r="E739">
        <v>3699.12</v>
      </c>
      <c r="F739">
        <v>24666</v>
      </c>
      <c r="I739" s="95">
        <f t="shared" si="23"/>
        <v>5.6011949215828416E-4</v>
      </c>
      <c r="J739" s="95">
        <f t="shared" si="22"/>
        <v>8.8362351093074221E-3</v>
      </c>
      <c r="K739" s="37"/>
    </row>
    <row r="740" spans="3:11" x14ac:dyDescent="0.2">
      <c r="C740" s="21">
        <v>44172</v>
      </c>
      <c r="D740">
        <v>214.29</v>
      </c>
      <c r="E740">
        <v>3691.96</v>
      </c>
      <c r="F740">
        <v>24620</v>
      </c>
      <c r="I740" s="95">
        <f t="shared" si="23"/>
        <v>-3.2655346146681641E-4</v>
      </c>
      <c r="J740" s="95">
        <f t="shared" si="22"/>
        <v>-1.9355954929820562E-3</v>
      </c>
      <c r="K740" s="37"/>
    </row>
    <row r="741" spans="3:11" x14ac:dyDescent="0.2">
      <c r="C741" s="21">
        <v>44173</v>
      </c>
      <c r="D741">
        <v>216.01</v>
      </c>
      <c r="E741">
        <v>3702.25</v>
      </c>
      <c r="F741">
        <v>23284.1</v>
      </c>
      <c r="I741" s="95">
        <f t="shared" si="23"/>
        <v>8.0265061365438761E-3</v>
      </c>
      <c r="J741" s="95">
        <f t="shared" si="22"/>
        <v>2.7871374554437889E-3</v>
      </c>
      <c r="K741" s="37"/>
    </row>
    <row r="742" spans="3:11" x14ac:dyDescent="0.2">
      <c r="C742" s="21">
        <v>44174</v>
      </c>
      <c r="D742">
        <v>211.8</v>
      </c>
      <c r="E742">
        <v>3672.82</v>
      </c>
      <c r="F742">
        <v>32440.6</v>
      </c>
      <c r="I742" s="95">
        <f t="shared" si="23"/>
        <v>-1.9489838433405793E-2</v>
      </c>
      <c r="J742" s="95">
        <f t="shared" si="22"/>
        <v>-7.9492200688769943E-3</v>
      </c>
      <c r="K742" s="37"/>
    </row>
    <row r="743" spans="3:11" x14ac:dyDescent="0.2">
      <c r="C743" s="21">
        <v>44175</v>
      </c>
      <c r="D743">
        <v>210.52</v>
      </c>
      <c r="E743">
        <v>3668.1</v>
      </c>
      <c r="F743">
        <v>26467</v>
      </c>
      <c r="I743" s="95">
        <f t="shared" si="23"/>
        <v>-6.0434372049102958E-3</v>
      </c>
      <c r="J743" s="95">
        <f t="shared" si="22"/>
        <v>-1.2851160688518437E-3</v>
      </c>
      <c r="K743" s="37"/>
    </row>
    <row r="744" spans="3:11" x14ac:dyDescent="0.2">
      <c r="C744" s="21">
        <v>44176</v>
      </c>
      <c r="D744">
        <v>213.26</v>
      </c>
      <c r="E744">
        <v>3663.46</v>
      </c>
      <c r="F744">
        <v>30979.4</v>
      </c>
      <c r="I744" s="95">
        <f t="shared" si="23"/>
        <v>1.3015390461713849E-2</v>
      </c>
      <c r="J744" s="95">
        <f t="shared" si="22"/>
        <v>-1.264960061067022E-3</v>
      </c>
      <c r="K744" s="37"/>
    </row>
    <row r="745" spans="3:11" x14ac:dyDescent="0.2">
      <c r="C745" s="21">
        <v>44179</v>
      </c>
      <c r="D745">
        <v>214.2</v>
      </c>
      <c r="E745">
        <v>3647.49</v>
      </c>
      <c r="F745">
        <v>28798.400000000001</v>
      </c>
      <c r="I745" s="95">
        <f t="shared" si="23"/>
        <v>4.4077651692768782E-3</v>
      </c>
      <c r="J745" s="95">
        <f t="shared" si="22"/>
        <v>-4.359266922526861E-3</v>
      </c>
      <c r="K745" s="37"/>
    </row>
    <row r="746" spans="3:11" x14ac:dyDescent="0.2">
      <c r="C746" s="21">
        <v>44180</v>
      </c>
      <c r="D746">
        <v>214.13</v>
      </c>
      <c r="E746">
        <v>3694.62</v>
      </c>
      <c r="F746">
        <v>27018.1</v>
      </c>
      <c r="I746" s="95">
        <f t="shared" si="23"/>
        <v>-3.2679738562091387E-4</v>
      </c>
      <c r="J746" s="95">
        <f t="shared" si="22"/>
        <v>1.2921214314501217E-2</v>
      </c>
      <c r="K746" s="37"/>
    </row>
    <row r="747" spans="3:11" x14ac:dyDescent="0.2">
      <c r="C747" s="21">
        <v>44181</v>
      </c>
      <c r="D747">
        <v>219.28</v>
      </c>
      <c r="E747">
        <v>3701.17</v>
      </c>
      <c r="F747">
        <v>35023.300000000003</v>
      </c>
      <c r="I747" s="95">
        <f t="shared" si="23"/>
        <v>2.4050810255452415E-2</v>
      </c>
      <c r="J747" s="95">
        <f t="shared" si="22"/>
        <v>1.7728480872187813E-3</v>
      </c>
      <c r="K747" s="37"/>
    </row>
    <row r="748" spans="3:11" x14ac:dyDescent="0.2">
      <c r="C748" s="21">
        <v>44182</v>
      </c>
      <c r="D748">
        <v>219.42</v>
      </c>
      <c r="E748">
        <v>3722.48</v>
      </c>
      <c r="F748">
        <v>32515.8</v>
      </c>
      <c r="I748" s="95">
        <f t="shared" si="23"/>
        <v>6.3845311929955351E-4</v>
      </c>
      <c r="J748" s="95">
        <f t="shared" si="22"/>
        <v>5.7576388007034573E-3</v>
      </c>
      <c r="K748" s="37"/>
    </row>
    <row r="749" spans="3:11" x14ac:dyDescent="0.2">
      <c r="C749" s="21">
        <v>44183</v>
      </c>
      <c r="D749">
        <v>218.59</v>
      </c>
      <c r="E749">
        <v>3709.41</v>
      </c>
      <c r="F749">
        <v>63354.9</v>
      </c>
      <c r="I749" s="95">
        <f t="shared" si="23"/>
        <v>-3.7826998450459781E-3</v>
      </c>
      <c r="J749" s="95">
        <f t="shared" si="22"/>
        <v>-3.5111001267972286E-3</v>
      </c>
      <c r="K749" s="37"/>
    </row>
    <row r="750" spans="3:11" x14ac:dyDescent="0.2">
      <c r="C750" s="21">
        <v>44186</v>
      </c>
      <c r="D750">
        <v>222.59</v>
      </c>
      <c r="E750">
        <v>3694.92</v>
      </c>
      <c r="F750">
        <v>37181.9</v>
      </c>
      <c r="I750" s="95">
        <f t="shared" si="23"/>
        <v>1.8299098769385624E-2</v>
      </c>
      <c r="J750" s="95">
        <f t="shared" si="22"/>
        <v>-3.9062815919512772E-3</v>
      </c>
      <c r="K750" s="37"/>
    </row>
    <row r="751" spans="3:11" x14ac:dyDescent="0.2">
      <c r="C751" s="21">
        <v>44187</v>
      </c>
      <c r="D751">
        <v>223.94</v>
      </c>
      <c r="E751">
        <v>3687.26</v>
      </c>
      <c r="F751">
        <v>22643.4</v>
      </c>
      <c r="I751" s="95">
        <f t="shared" si="23"/>
        <v>6.0649624870838803E-3</v>
      </c>
      <c r="J751" s="95">
        <f t="shared" si="22"/>
        <v>-2.0731166033364223E-3</v>
      </c>
      <c r="K751" s="37"/>
    </row>
    <row r="752" spans="3:11" x14ac:dyDescent="0.2">
      <c r="C752" s="21">
        <v>44188</v>
      </c>
      <c r="D752">
        <v>221.02</v>
      </c>
      <c r="E752">
        <v>3690.01</v>
      </c>
      <c r="F752">
        <v>18699.599999999999</v>
      </c>
      <c r="I752" s="95">
        <f t="shared" si="23"/>
        <v>-1.3039206930427705E-2</v>
      </c>
      <c r="J752" s="95">
        <f t="shared" si="22"/>
        <v>7.4581125280026583E-4</v>
      </c>
      <c r="K752" s="37"/>
    </row>
    <row r="753" spans="3:11" x14ac:dyDescent="0.2">
      <c r="C753" s="21">
        <v>44189</v>
      </c>
      <c r="D753">
        <v>222.75</v>
      </c>
      <c r="E753">
        <v>3703.06</v>
      </c>
      <c r="F753">
        <v>10550.6</v>
      </c>
      <c r="I753" s="95">
        <f t="shared" si="23"/>
        <v>7.8273459415436619E-3</v>
      </c>
      <c r="J753" s="95">
        <f t="shared" si="22"/>
        <v>3.5365757816374632E-3</v>
      </c>
      <c r="K753" s="37"/>
    </row>
    <row r="754" spans="3:11" x14ac:dyDescent="0.2">
      <c r="C754" s="21">
        <v>44190</v>
      </c>
      <c r="D754">
        <v>222.75</v>
      </c>
      <c r="E754">
        <v>3703.06</v>
      </c>
      <c r="F754" t="e">
        <v>#N/A</v>
      </c>
      <c r="I754" s="95">
        <f t="shared" si="23"/>
        <v>0</v>
      </c>
      <c r="J754" s="95">
        <f t="shared" si="22"/>
        <v>0</v>
      </c>
      <c r="K754" s="37"/>
    </row>
    <row r="755" spans="3:11" x14ac:dyDescent="0.2">
      <c r="C755" s="21">
        <v>44193</v>
      </c>
      <c r="D755">
        <v>224.96</v>
      </c>
      <c r="E755">
        <v>3735.36</v>
      </c>
      <c r="F755">
        <v>17933.5</v>
      </c>
      <c r="I755" s="95">
        <f t="shared" si="23"/>
        <v>9.921436588103294E-3</v>
      </c>
      <c r="J755" s="95">
        <f t="shared" si="22"/>
        <v>8.7225159732762236E-3</v>
      </c>
      <c r="K755" s="37"/>
    </row>
    <row r="756" spans="3:11" x14ac:dyDescent="0.2">
      <c r="C756" s="21">
        <v>44194</v>
      </c>
      <c r="D756">
        <v>224.15</v>
      </c>
      <c r="E756">
        <v>3727.04</v>
      </c>
      <c r="F756">
        <v>17403.2</v>
      </c>
      <c r="I756" s="95">
        <f t="shared" si="23"/>
        <v>-3.6006401137980149E-3</v>
      </c>
      <c r="J756" s="95">
        <f t="shared" si="22"/>
        <v>-2.2273622890431888E-3</v>
      </c>
      <c r="K756" s="37"/>
    </row>
    <row r="757" spans="3:11" x14ac:dyDescent="0.2">
      <c r="C757" s="21">
        <v>44195</v>
      </c>
      <c r="D757">
        <v>221.68</v>
      </c>
      <c r="E757">
        <v>3732.04</v>
      </c>
      <c r="F757">
        <v>20272.3</v>
      </c>
      <c r="I757" s="95">
        <f t="shared" si="23"/>
        <v>-1.1019406647334362E-2</v>
      </c>
      <c r="J757" s="95">
        <f t="shared" si="22"/>
        <v>1.3415471795312772E-3</v>
      </c>
      <c r="K757" s="37"/>
    </row>
    <row r="758" spans="3:11" x14ac:dyDescent="0.2">
      <c r="C758" s="21">
        <v>44196</v>
      </c>
      <c r="D758">
        <v>222.42</v>
      </c>
      <c r="E758">
        <v>3756.07</v>
      </c>
      <c r="F758">
        <v>20942.099999999999</v>
      </c>
      <c r="I758" s="95">
        <f t="shared" si="23"/>
        <v>3.3381450739804475E-3</v>
      </c>
      <c r="J758" s="95">
        <f t="shared" si="22"/>
        <v>6.4388377402171404E-3</v>
      </c>
      <c r="K758" s="37"/>
    </row>
    <row r="759" spans="3:11" x14ac:dyDescent="0.2">
      <c r="C759" s="21">
        <v>44197</v>
      </c>
      <c r="D759">
        <v>222.42</v>
      </c>
      <c r="E759">
        <v>3756.07</v>
      </c>
      <c r="F759" t="e">
        <v>#N/A</v>
      </c>
      <c r="I759" s="95">
        <f t="shared" si="23"/>
        <v>0</v>
      </c>
      <c r="J759" s="95">
        <f t="shared" si="22"/>
        <v>0</v>
      </c>
      <c r="K759" s="37"/>
    </row>
    <row r="760" spans="3:11" x14ac:dyDescent="0.2">
      <c r="C760" s="21">
        <v>44200</v>
      </c>
      <c r="D760">
        <v>217.69</v>
      </c>
      <c r="E760">
        <v>3700.65</v>
      </c>
      <c r="F760">
        <v>37130.1</v>
      </c>
      <c r="I760" s="95">
        <f t="shared" si="23"/>
        <v>-2.1266073194856516E-2</v>
      </c>
      <c r="J760" s="95">
        <f t="shared" si="22"/>
        <v>-1.475478359029514E-2</v>
      </c>
      <c r="K760" s="37"/>
    </row>
    <row r="761" spans="3:11" x14ac:dyDescent="0.2">
      <c r="C761" s="21">
        <v>44201</v>
      </c>
      <c r="D761">
        <v>217.9</v>
      </c>
      <c r="E761">
        <v>3726.86</v>
      </c>
      <c r="F761">
        <v>23823</v>
      </c>
      <c r="I761" s="95">
        <f t="shared" si="23"/>
        <v>9.6467453718585006E-4</v>
      </c>
      <c r="J761" s="95">
        <f t="shared" si="22"/>
        <v>7.0825395538620661E-3</v>
      </c>
      <c r="K761" s="37"/>
    </row>
    <row r="762" spans="3:11" x14ac:dyDescent="0.2">
      <c r="C762" s="21">
        <v>44202</v>
      </c>
      <c r="D762">
        <v>212.25</v>
      </c>
      <c r="E762">
        <v>3748.14</v>
      </c>
      <c r="F762">
        <v>35930.699999999997</v>
      </c>
      <c r="I762" s="95">
        <f t="shared" si="23"/>
        <v>-2.5929325378614032E-2</v>
      </c>
      <c r="J762" s="95">
        <f t="shared" si="22"/>
        <v>5.7099005597205377E-3</v>
      </c>
      <c r="K762" s="37"/>
    </row>
    <row r="763" spans="3:11" x14ac:dyDescent="0.2">
      <c r="C763" s="21">
        <v>44203</v>
      </c>
      <c r="D763">
        <v>218.29</v>
      </c>
      <c r="E763">
        <v>3803.79</v>
      </c>
      <c r="F763">
        <v>27694.5</v>
      </c>
      <c r="I763" s="95">
        <f t="shared" si="23"/>
        <v>2.8457008244993975E-2</v>
      </c>
      <c r="J763" s="95">
        <f t="shared" si="22"/>
        <v>1.484736429268918E-2</v>
      </c>
      <c r="K763" s="37"/>
    </row>
    <row r="764" spans="3:11" x14ac:dyDescent="0.2">
      <c r="C764" s="21">
        <v>44204</v>
      </c>
      <c r="D764">
        <v>219.62</v>
      </c>
      <c r="E764">
        <v>3824.68</v>
      </c>
      <c r="F764">
        <v>22956.2</v>
      </c>
      <c r="I764" s="95">
        <f t="shared" si="23"/>
        <v>6.092812313894358E-3</v>
      </c>
      <c r="J764" s="95">
        <f t="shared" si="22"/>
        <v>5.4918909824148709E-3</v>
      </c>
      <c r="K764" s="37"/>
    </row>
    <row r="765" spans="3:11" x14ac:dyDescent="0.2">
      <c r="C765" s="21">
        <v>44207</v>
      </c>
      <c r="D765">
        <v>217.49</v>
      </c>
      <c r="E765">
        <v>3799.61</v>
      </c>
      <c r="F765">
        <v>23047</v>
      </c>
      <c r="I765" s="95">
        <f t="shared" si="23"/>
        <v>-9.698570257717809E-3</v>
      </c>
      <c r="J765" s="95">
        <f t="shared" si="22"/>
        <v>-6.5547967411652142E-3</v>
      </c>
      <c r="K765" s="37"/>
    </row>
    <row r="766" spans="3:11" x14ac:dyDescent="0.2">
      <c r="C766" s="21">
        <v>44208</v>
      </c>
      <c r="D766">
        <v>214.93</v>
      </c>
      <c r="E766">
        <v>3801.19</v>
      </c>
      <c r="F766">
        <v>23249.3</v>
      </c>
      <c r="I766" s="95">
        <f t="shared" si="23"/>
        <v>-1.1770656122120582E-2</v>
      </c>
      <c r="J766" s="95">
        <f t="shared" si="22"/>
        <v>4.1583215119445072E-4</v>
      </c>
      <c r="K766" s="37"/>
    </row>
    <row r="767" spans="3:11" x14ac:dyDescent="0.2">
      <c r="C767" s="21">
        <v>44209</v>
      </c>
      <c r="D767">
        <v>216.34</v>
      </c>
      <c r="E767">
        <v>3809.84</v>
      </c>
      <c r="F767">
        <v>20087.099999999999</v>
      </c>
      <c r="I767" s="95">
        <f t="shared" si="23"/>
        <v>6.5602754385147843E-3</v>
      </c>
      <c r="J767" s="95">
        <f t="shared" si="22"/>
        <v>2.2756031663768717E-3</v>
      </c>
      <c r="K767" s="37"/>
    </row>
    <row r="768" spans="3:11" x14ac:dyDescent="0.2">
      <c r="C768" s="21">
        <v>44210</v>
      </c>
      <c r="D768">
        <v>213.02</v>
      </c>
      <c r="E768">
        <v>3795.54</v>
      </c>
      <c r="F768">
        <v>29346.7</v>
      </c>
      <c r="I768" s="95">
        <f t="shared" si="23"/>
        <v>-1.5346214292317639E-2</v>
      </c>
      <c r="J768" s="95">
        <f t="shared" si="22"/>
        <v>-3.753438464607517E-3</v>
      </c>
      <c r="K768" s="37"/>
    </row>
    <row r="769" spans="3:11" x14ac:dyDescent="0.2">
      <c r="C769" s="21">
        <v>44211</v>
      </c>
      <c r="D769">
        <v>212.65</v>
      </c>
      <c r="E769">
        <v>3768.25</v>
      </c>
      <c r="F769">
        <v>31746.5</v>
      </c>
      <c r="I769" s="95">
        <f t="shared" si="23"/>
        <v>-1.7369261102244682E-3</v>
      </c>
      <c r="J769" s="95">
        <f t="shared" si="22"/>
        <v>-7.1900177576840196E-3</v>
      </c>
      <c r="K769" s="37"/>
    </row>
    <row r="770" spans="3:11" x14ac:dyDescent="0.2">
      <c r="C770" s="21">
        <v>44214</v>
      </c>
      <c r="D770">
        <v>212.65</v>
      </c>
      <c r="E770">
        <v>3768.25</v>
      </c>
      <c r="F770" t="e">
        <v>#N/A</v>
      </c>
      <c r="I770" s="95">
        <f t="shared" si="23"/>
        <v>0</v>
      </c>
      <c r="J770" s="95">
        <f t="shared" si="22"/>
        <v>0</v>
      </c>
      <c r="K770" s="37"/>
    </row>
    <row r="771" spans="3:11" x14ac:dyDescent="0.2">
      <c r="C771" s="21">
        <v>44215</v>
      </c>
      <c r="D771">
        <v>216.44</v>
      </c>
      <c r="E771">
        <v>3798.91</v>
      </c>
      <c r="F771">
        <v>30480.9</v>
      </c>
      <c r="I771" s="95">
        <f t="shared" si="23"/>
        <v>1.7822713378791377E-2</v>
      </c>
      <c r="J771" s="95">
        <f t="shared" si="22"/>
        <v>8.136402839514334E-3</v>
      </c>
      <c r="K771" s="37"/>
    </row>
    <row r="772" spans="3:11" x14ac:dyDescent="0.2">
      <c r="C772" s="21">
        <v>44216</v>
      </c>
      <c r="D772">
        <v>224.34</v>
      </c>
      <c r="E772">
        <v>3851.85</v>
      </c>
      <c r="F772">
        <v>37777.300000000003</v>
      </c>
      <c r="I772" s="95">
        <f t="shared" si="23"/>
        <v>3.6499722786915489E-2</v>
      </c>
      <c r="J772" s="95">
        <f t="shared" si="22"/>
        <v>1.3935576257400273E-2</v>
      </c>
      <c r="K772" s="37"/>
    </row>
    <row r="773" spans="3:11" x14ac:dyDescent="0.2">
      <c r="C773" s="21">
        <v>44217</v>
      </c>
      <c r="D773">
        <v>224.97</v>
      </c>
      <c r="E773">
        <v>3853.07</v>
      </c>
      <c r="F773">
        <v>30749.599999999999</v>
      </c>
      <c r="I773" s="95">
        <f t="shared" si="23"/>
        <v>2.808237496656929E-3</v>
      </c>
      <c r="J773" s="95">
        <f t="shared" ref="J773:J836" si="24">E773/E772-1</f>
        <v>3.167309215053038E-4</v>
      </c>
      <c r="K773" s="37"/>
    </row>
    <row r="774" spans="3:11" x14ac:dyDescent="0.2">
      <c r="C774" s="21">
        <v>44218</v>
      </c>
      <c r="D774">
        <v>225.95</v>
      </c>
      <c r="E774">
        <v>3841.47</v>
      </c>
      <c r="F774">
        <v>30172.7</v>
      </c>
      <c r="I774" s="95">
        <f t="shared" ref="I774:I837" si="25">D774/D773-1</f>
        <v>4.3561363737387726E-3</v>
      </c>
      <c r="J774" s="95">
        <f t="shared" si="24"/>
        <v>-3.0105863636010755E-3</v>
      </c>
      <c r="K774" s="37"/>
    </row>
    <row r="775" spans="3:11" x14ac:dyDescent="0.2">
      <c r="C775" s="21">
        <v>44221</v>
      </c>
      <c r="D775">
        <v>229.53</v>
      </c>
      <c r="E775">
        <v>3855.36</v>
      </c>
      <c r="F775">
        <v>33152.1</v>
      </c>
      <c r="I775" s="95">
        <f t="shared" si="25"/>
        <v>1.5844213321531297E-2</v>
      </c>
      <c r="J775" s="95">
        <f t="shared" si="24"/>
        <v>3.6158033252895461E-3</v>
      </c>
      <c r="K775" s="37"/>
    </row>
    <row r="776" spans="3:11" x14ac:dyDescent="0.2">
      <c r="C776" s="21">
        <v>44222</v>
      </c>
      <c r="D776">
        <v>232.33</v>
      </c>
      <c r="E776">
        <v>3849.62</v>
      </c>
      <c r="F776">
        <v>49169.599999999999</v>
      </c>
      <c r="I776" s="95">
        <f t="shared" si="25"/>
        <v>1.2198841110094616E-2</v>
      </c>
      <c r="J776" s="95">
        <f t="shared" si="24"/>
        <v>-1.4888363213811928E-3</v>
      </c>
      <c r="K776" s="37"/>
    </row>
    <row r="777" spans="3:11" x14ac:dyDescent="0.2">
      <c r="C777" s="21">
        <v>44223</v>
      </c>
      <c r="D777">
        <v>232.9</v>
      </c>
      <c r="E777">
        <v>3750.77</v>
      </c>
      <c r="F777">
        <v>69870.600000000006</v>
      </c>
      <c r="I777" s="95">
        <f t="shared" si="25"/>
        <v>2.4534067920629621E-3</v>
      </c>
      <c r="J777" s="95">
        <f t="shared" si="24"/>
        <v>-2.5677859113367063E-2</v>
      </c>
      <c r="K777" s="37"/>
    </row>
    <row r="778" spans="3:11" x14ac:dyDescent="0.2">
      <c r="C778" s="21">
        <v>44224</v>
      </c>
      <c r="D778">
        <v>238.93</v>
      </c>
      <c r="E778">
        <v>3787.38</v>
      </c>
      <c r="F778">
        <v>49111.199999999997</v>
      </c>
      <c r="I778" s="95">
        <f t="shared" si="25"/>
        <v>2.589094031773298E-2</v>
      </c>
      <c r="J778" s="95">
        <f t="shared" si="24"/>
        <v>9.7606624773047823E-3</v>
      </c>
      <c r="K778" s="37"/>
    </row>
    <row r="779" spans="3:11" x14ac:dyDescent="0.2">
      <c r="C779" s="21">
        <v>44225</v>
      </c>
      <c r="D779">
        <v>231.96</v>
      </c>
      <c r="E779">
        <v>3714.24</v>
      </c>
      <c r="F779">
        <v>42503.1</v>
      </c>
      <c r="I779" s="95">
        <f t="shared" si="25"/>
        <v>-2.9171723935880745E-2</v>
      </c>
      <c r="J779" s="95">
        <f t="shared" si="24"/>
        <v>-1.9311502938707092E-2</v>
      </c>
      <c r="K779" s="37"/>
    </row>
    <row r="780" spans="3:11" x14ac:dyDescent="0.2">
      <c r="C780" s="21">
        <v>44228</v>
      </c>
      <c r="D780">
        <v>239.65</v>
      </c>
      <c r="E780">
        <v>3773.86</v>
      </c>
      <c r="F780">
        <v>33314.199999999997</v>
      </c>
      <c r="I780" s="95">
        <f t="shared" si="25"/>
        <v>3.3152267632350352E-2</v>
      </c>
      <c r="J780" s="95">
        <f t="shared" si="24"/>
        <v>1.6051736021366558E-2</v>
      </c>
      <c r="K780" s="37"/>
    </row>
    <row r="781" spans="3:11" x14ac:dyDescent="0.2">
      <c r="C781" s="21">
        <v>44229</v>
      </c>
      <c r="D781">
        <v>239.51</v>
      </c>
      <c r="E781">
        <v>3826.31</v>
      </c>
      <c r="F781">
        <v>25916.3</v>
      </c>
      <c r="I781" s="95">
        <f t="shared" si="25"/>
        <v>-5.8418527018577748E-4</v>
      </c>
      <c r="J781" s="95">
        <f t="shared" si="24"/>
        <v>1.3898236818535858E-2</v>
      </c>
      <c r="K781" s="37"/>
    </row>
    <row r="782" spans="3:11" x14ac:dyDescent="0.2">
      <c r="C782" s="21">
        <v>44230</v>
      </c>
      <c r="D782">
        <v>243</v>
      </c>
      <c r="E782">
        <v>3830.17</v>
      </c>
      <c r="F782">
        <v>27158.1</v>
      </c>
      <c r="I782" s="95">
        <f t="shared" si="25"/>
        <v>1.457141664231143E-2</v>
      </c>
      <c r="J782" s="95">
        <f t="shared" si="24"/>
        <v>1.0088048276277739E-3</v>
      </c>
      <c r="K782" s="37"/>
    </row>
    <row r="783" spans="3:11" x14ac:dyDescent="0.2">
      <c r="C783" s="21">
        <v>44231</v>
      </c>
      <c r="D783">
        <v>242.01</v>
      </c>
      <c r="E783">
        <v>3871.74</v>
      </c>
      <c r="F783">
        <v>25296.1</v>
      </c>
      <c r="I783" s="95">
        <f t="shared" si="25"/>
        <v>-4.0740740740741188E-3</v>
      </c>
      <c r="J783" s="95">
        <f t="shared" si="24"/>
        <v>1.0853304161434041E-2</v>
      </c>
      <c r="K783" s="37"/>
    </row>
    <row r="784" spans="3:11" x14ac:dyDescent="0.2">
      <c r="C784" s="21">
        <v>44232</v>
      </c>
      <c r="D784">
        <v>242.2</v>
      </c>
      <c r="E784">
        <v>3886.83</v>
      </c>
      <c r="F784">
        <v>18054.8</v>
      </c>
      <c r="I784" s="95">
        <f t="shared" si="25"/>
        <v>7.8509152514349978E-4</v>
      </c>
      <c r="J784" s="95">
        <f t="shared" si="24"/>
        <v>3.897472454245321E-3</v>
      </c>
      <c r="K784" s="37"/>
    </row>
    <row r="785" spans="3:11" x14ac:dyDescent="0.2">
      <c r="C785" s="21">
        <v>44235</v>
      </c>
      <c r="D785">
        <v>242.47</v>
      </c>
      <c r="E785">
        <v>3915.59</v>
      </c>
      <c r="F785">
        <v>22211.9</v>
      </c>
      <c r="I785" s="95">
        <f t="shared" si="25"/>
        <v>1.1147811725846779E-3</v>
      </c>
      <c r="J785" s="95">
        <f t="shared" si="24"/>
        <v>7.3993459966090747E-3</v>
      </c>
      <c r="K785" s="37"/>
    </row>
    <row r="786" spans="3:11" x14ac:dyDescent="0.2">
      <c r="C786" s="21">
        <v>44236</v>
      </c>
      <c r="D786">
        <v>243.77</v>
      </c>
      <c r="E786">
        <v>3911.23</v>
      </c>
      <c r="F786">
        <v>23565</v>
      </c>
      <c r="I786" s="95">
        <f t="shared" si="25"/>
        <v>5.3614880191363845E-3</v>
      </c>
      <c r="J786" s="95">
        <f t="shared" si="24"/>
        <v>-1.1134975827398197E-3</v>
      </c>
      <c r="K786" s="37"/>
    </row>
    <row r="787" spans="3:11" x14ac:dyDescent="0.2">
      <c r="C787" s="21">
        <v>44237</v>
      </c>
      <c r="D787">
        <v>242.82</v>
      </c>
      <c r="E787">
        <v>3909.88</v>
      </c>
      <c r="F787">
        <v>22186.7</v>
      </c>
      <c r="I787" s="95">
        <f t="shared" si="25"/>
        <v>-3.8971161340608518E-3</v>
      </c>
      <c r="J787" s="95">
        <f t="shared" si="24"/>
        <v>-3.4515996246697878E-4</v>
      </c>
      <c r="K787" s="37"/>
    </row>
    <row r="788" spans="3:11" x14ac:dyDescent="0.2">
      <c r="C788" s="21">
        <v>44238</v>
      </c>
      <c r="D788">
        <v>244.49</v>
      </c>
      <c r="E788">
        <v>3916.38</v>
      </c>
      <c r="F788">
        <v>15751.1</v>
      </c>
      <c r="I788" s="95">
        <f t="shared" si="25"/>
        <v>6.8775224446091521E-3</v>
      </c>
      <c r="J788" s="95">
        <f t="shared" si="24"/>
        <v>1.6624551137118804E-3</v>
      </c>
      <c r="K788" s="37"/>
    </row>
    <row r="789" spans="3:11" x14ac:dyDescent="0.2">
      <c r="C789" s="21">
        <v>44239</v>
      </c>
      <c r="D789">
        <v>244.99</v>
      </c>
      <c r="E789">
        <v>3934.83</v>
      </c>
      <c r="F789">
        <v>16561.099999999999</v>
      </c>
      <c r="I789" s="95">
        <f t="shared" si="25"/>
        <v>2.0450734181356456E-3</v>
      </c>
      <c r="J789" s="95">
        <f t="shared" si="24"/>
        <v>4.7109831017417836E-3</v>
      </c>
      <c r="K789" s="37"/>
    </row>
    <row r="790" spans="3:11" x14ac:dyDescent="0.2">
      <c r="C790" s="21">
        <v>44242</v>
      </c>
      <c r="D790">
        <v>244.99</v>
      </c>
      <c r="E790">
        <v>3934.83</v>
      </c>
      <c r="F790" t="e">
        <v>#N/A</v>
      </c>
      <c r="I790" s="95">
        <f t="shared" si="25"/>
        <v>0</v>
      </c>
      <c r="J790" s="95">
        <f t="shared" si="24"/>
        <v>0</v>
      </c>
      <c r="K790" s="37"/>
    </row>
    <row r="791" spans="3:11" x14ac:dyDescent="0.2">
      <c r="C791" s="21">
        <v>44243</v>
      </c>
      <c r="D791">
        <v>243.7</v>
      </c>
      <c r="E791">
        <v>3932.59</v>
      </c>
      <c r="F791">
        <v>26728.5</v>
      </c>
      <c r="I791" s="95">
        <f t="shared" si="25"/>
        <v>-5.2655210416752141E-3</v>
      </c>
      <c r="J791" s="95">
        <f t="shared" si="24"/>
        <v>-5.6927491149549869E-4</v>
      </c>
      <c r="K791" s="37"/>
    </row>
    <row r="792" spans="3:11" x14ac:dyDescent="0.2">
      <c r="C792" s="21">
        <v>44244</v>
      </c>
      <c r="D792">
        <v>244.2</v>
      </c>
      <c r="E792">
        <v>3931.33</v>
      </c>
      <c r="F792">
        <v>21673.1</v>
      </c>
      <c r="I792" s="95">
        <f t="shared" si="25"/>
        <v>2.051702913418163E-3</v>
      </c>
      <c r="J792" s="95">
        <f t="shared" si="24"/>
        <v>-3.2039953313212077E-4</v>
      </c>
      <c r="K792" s="37"/>
    </row>
    <row r="793" spans="3:11" x14ac:dyDescent="0.2">
      <c r="C793" s="21">
        <v>44245</v>
      </c>
      <c r="D793">
        <v>243.79</v>
      </c>
      <c r="E793">
        <v>3913.97</v>
      </c>
      <c r="F793">
        <v>16925.599999999999</v>
      </c>
      <c r="I793" s="95">
        <f t="shared" si="25"/>
        <v>-1.6789516789517123E-3</v>
      </c>
      <c r="J793" s="95">
        <f t="shared" si="24"/>
        <v>-4.4158083905446732E-3</v>
      </c>
      <c r="K793" s="37"/>
    </row>
    <row r="794" spans="3:11" x14ac:dyDescent="0.2">
      <c r="C794" s="21">
        <v>44246</v>
      </c>
      <c r="D794">
        <v>240.97</v>
      </c>
      <c r="E794">
        <v>3906.71</v>
      </c>
      <c r="F794">
        <v>25262.6</v>
      </c>
      <c r="I794" s="95">
        <f t="shared" si="25"/>
        <v>-1.1567332540301067E-2</v>
      </c>
      <c r="J794" s="95">
        <f t="shared" si="24"/>
        <v>-1.8548941356217874E-3</v>
      </c>
      <c r="K794" s="37"/>
    </row>
    <row r="795" spans="3:11" x14ac:dyDescent="0.2">
      <c r="C795" s="21">
        <v>44249</v>
      </c>
      <c r="D795">
        <v>234.51</v>
      </c>
      <c r="E795">
        <v>3876.5</v>
      </c>
      <c r="F795">
        <v>36446.9</v>
      </c>
      <c r="I795" s="95">
        <f t="shared" si="25"/>
        <v>-2.680831638793213E-2</v>
      </c>
      <c r="J795" s="95">
        <f t="shared" si="24"/>
        <v>-7.7328493796570141E-3</v>
      </c>
      <c r="K795" s="37"/>
    </row>
    <row r="796" spans="3:11" x14ac:dyDescent="0.2">
      <c r="C796" s="21">
        <v>44250</v>
      </c>
      <c r="D796">
        <v>233.27</v>
      </c>
      <c r="E796">
        <v>3881.37</v>
      </c>
      <c r="F796">
        <v>30228.7</v>
      </c>
      <c r="I796" s="95">
        <f t="shared" si="25"/>
        <v>-5.2876209969723309E-3</v>
      </c>
      <c r="J796" s="95">
        <f t="shared" si="24"/>
        <v>1.2562878885591378E-3</v>
      </c>
      <c r="K796" s="37"/>
    </row>
    <row r="797" spans="3:11" x14ac:dyDescent="0.2">
      <c r="C797" s="21">
        <v>44251</v>
      </c>
      <c r="D797">
        <v>234.55</v>
      </c>
      <c r="E797">
        <v>3925.43</v>
      </c>
      <c r="F797">
        <v>26339.7</v>
      </c>
      <c r="I797" s="95">
        <f t="shared" si="25"/>
        <v>5.4872036695674531E-3</v>
      </c>
      <c r="J797" s="95">
        <f t="shared" si="24"/>
        <v>1.135166191319037E-2</v>
      </c>
      <c r="K797" s="37"/>
    </row>
    <row r="798" spans="3:11" x14ac:dyDescent="0.2">
      <c r="C798" s="21">
        <v>44252</v>
      </c>
      <c r="D798">
        <v>228.99</v>
      </c>
      <c r="E798">
        <v>3829.34</v>
      </c>
      <c r="F798">
        <v>39542.199999999997</v>
      </c>
      <c r="I798" s="95">
        <f t="shared" si="25"/>
        <v>-2.3704966958004725E-2</v>
      </c>
      <c r="J798" s="95">
        <f t="shared" si="24"/>
        <v>-2.4478846903396523E-2</v>
      </c>
      <c r="K798" s="37"/>
    </row>
    <row r="799" spans="3:11" x14ac:dyDescent="0.2">
      <c r="C799" s="21">
        <v>44253</v>
      </c>
      <c r="D799">
        <v>232.38</v>
      </c>
      <c r="E799">
        <v>3811.15</v>
      </c>
      <c r="F799">
        <v>37819.199999999997</v>
      </c>
      <c r="I799" s="95">
        <f t="shared" si="25"/>
        <v>1.4804139918773718E-2</v>
      </c>
      <c r="J799" s="95">
        <f t="shared" si="24"/>
        <v>-4.7501658249202716E-3</v>
      </c>
      <c r="K799" s="37"/>
    </row>
    <row r="800" spans="3:11" x14ac:dyDescent="0.2">
      <c r="C800" s="21">
        <v>44256</v>
      </c>
      <c r="D800">
        <v>236.94</v>
      </c>
      <c r="E800">
        <v>3901.82</v>
      </c>
      <c r="F800">
        <v>25332.799999999999</v>
      </c>
      <c r="I800" s="95">
        <f t="shared" si="25"/>
        <v>1.9623031241931432E-2</v>
      </c>
      <c r="J800" s="95">
        <f t="shared" si="24"/>
        <v>2.3790719336683086E-2</v>
      </c>
      <c r="K800" s="37"/>
    </row>
    <row r="801" spans="3:11" x14ac:dyDescent="0.2">
      <c r="C801" s="21">
        <v>44257</v>
      </c>
      <c r="D801">
        <v>233.87</v>
      </c>
      <c r="E801">
        <v>3870.29</v>
      </c>
      <c r="F801">
        <v>22812.5</v>
      </c>
      <c r="I801" s="95">
        <f t="shared" si="25"/>
        <v>-1.2956866717312332E-2</v>
      </c>
      <c r="J801" s="95">
        <f t="shared" si="24"/>
        <v>-8.0808443239309691E-3</v>
      </c>
      <c r="K801" s="37"/>
    </row>
    <row r="802" spans="3:11" x14ac:dyDescent="0.2">
      <c r="C802" s="21">
        <v>44258</v>
      </c>
      <c r="D802">
        <v>227.56</v>
      </c>
      <c r="E802">
        <v>3819.72</v>
      </c>
      <c r="F802">
        <v>34029.5</v>
      </c>
      <c r="I802" s="95">
        <f t="shared" si="25"/>
        <v>-2.6980801299867463E-2</v>
      </c>
      <c r="J802" s="95">
        <f t="shared" si="24"/>
        <v>-1.306620434127681E-2</v>
      </c>
      <c r="K802" s="37"/>
    </row>
    <row r="803" spans="3:11" x14ac:dyDescent="0.2">
      <c r="C803" s="21">
        <v>44259</v>
      </c>
      <c r="D803">
        <v>226.73</v>
      </c>
      <c r="E803">
        <v>3768.47</v>
      </c>
      <c r="F803">
        <v>44727.8</v>
      </c>
      <c r="I803" s="95">
        <f t="shared" si="25"/>
        <v>-3.6473896994200228E-3</v>
      </c>
      <c r="J803" s="95">
        <f t="shared" si="24"/>
        <v>-1.3417213827191521E-2</v>
      </c>
      <c r="K803" s="37"/>
    </row>
    <row r="804" spans="3:11" x14ac:dyDescent="0.2">
      <c r="C804" s="21">
        <v>44260</v>
      </c>
      <c r="D804">
        <v>231.6</v>
      </c>
      <c r="E804">
        <v>3841.94</v>
      </c>
      <c r="F804">
        <v>41872.800000000003</v>
      </c>
      <c r="I804" s="95">
        <f t="shared" si="25"/>
        <v>2.1479292550610873E-2</v>
      </c>
      <c r="J804" s="95">
        <f t="shared" si="24"/>
        <v>1.9495975820425837E-2</v>
      </c>
      <c r="K804" s="37"/>
    </row>
    <row r="805" spans="3:11" x14ac:dyDescent="0.2">
      <c r="C805" s="21">
        <v>44263</v>
      </c>
      <c r="D805">
        <v>227.39</v>
      </c>
      <c r="E805">
        <v>3821.35</v>
      </c>
      <c r="F805">
        <v>35267.4</v>
      </c>
      <c r="I805" s="95">
        <f t="shared" si="25"/>
        <v>-1.8177892918825544E-2</v>
      </c>
      <c r="J805" s="95">
        <f t="shared" si="24"/>
        <v>-5.3592716179846622E-3</v>
      </c>
      <c r="K805" s="37"/>
    </row>
    <row r="806" spans="3:11" x14ac:dyDescent="0.2">
      <c r="C806" s="21">
        <v>44264</v>
      </c>
      <c r="D806">
        <v>233.78</v>
      </c>
      <c r="E806">
        <v>3875.44</v>
      </c>
      <c r="F806">
        <v>33080.5</v>
      </c>
      <c r="I806" s="95">
        <f t="shared" si="25"/>
        <v>2.8101499626193016E-2</v>
      </c>
      <c r="J806" s="95">
        <f t="shared" si="24"/>
        <v>1.4154683554241432E-2</v>
      </c>
      <c r="K806" s="37"/>
    </row>
    <row r="807" spans="3:11" x14ac:dyDescent="0.2">
      <c r="C807" s="21">
        <v>44265</v>
      </c>
      <c r="D807">
        <v>232.42</v>
      </c>
      <c r="E807">
        <v>3898.81</v>
      </c>
      <c r="F807">
        <v>29746.799999999999</v>
      </c>
      <c r="I807" s="95">
        <f t="shared" si="25"/>
        <v>-5.8174351954829451E-3</v>
      </c>
      <c r="J807" s="95">
        <f t="shared" si="24"/>
        <v>6.0302830130256613E-3</v>
      </c>
      <c r="K807" s="37"/>
    </row>
    <row r="808" spans="3:11" x14ac:dyDescent="0.2">
      <c r="C808" s="21">
        <v>44266</v>
      </c>
      <c r="D808">
        <v>237.13</v>
      </c>
      <c r="E808">
        <v>3939.34</v>
      </c>
      <c r="F808">
        <v>29907.599999999999</v>
      </c>
      <c r="I808" s="95">
        <f t="shared" si="25"/>
        <v>2.0265037432234845E-2</v>
      </c>
      <c r="J808" s="95">
        <f t="shared" si="24"/>
        <v>1.0395479646353678E-2</v>
      </c>
      <c r="K808" s="37"/>
    </row>
    <row r="809" spans="3:11" x14ac:dyDescent="0.2">
      <c r="C809" s="21">
        <v>44267</v>
      </c>
      <c r="D809">
        <v>235.75</v>
      </c>
      <c r="E809">
        <v>3943.34</v>
      </c>
      <c r="F809">
        <v>22653.7</v>
      </c>
      <c r="I809" s="95">
        <f t="shared" si="25"/>
        <v>-5.8195926285159461E-3</v>
      </c>
      <c r="J809" s="95">
        <f t="shared" si="24"/>
        <v>1.0153985185334946E-3</v>
      </c>
      <c r="K809" s="37"/>
    </row>
    <row r="810" spans="3:11" x14ac:dyDescent="0.2">
      <c r="C810" s="21">
        <v>44270</v>
      </c>
      <c r="D810">
        <v>234.81</v>
      </c>
      <c r="E810">
        <v>3968.94</v>
      </c>
      <c r="F810">
        <v>26042.7</v>
      </c>
      <c r="I810" s="95">
        <f t="shared" si="25"/>
        <v>-3.9872746553551996E-3</v>
      </c>
      <c r="J810" s="95">
        <f t="shared" si="24"/>
        <v>6.4919585934766211E-3</v>
      </c>
      <c r="K810" s="37"/>
    </row>
    <row r="811" spans="3:11" x14ac:dyDescent="0.2">
      <c r="C811" s="21">
        <v>44271</v>
      </c>
      <c r="D811">
        <v>237.71</v>
      </c>
      <c r="E811">
        <v>3962.71</v>
      </c>
      <c r="F811">
        <v>28092.2</v>
      </c>
      <c r="I811" s="95">
        <f t="shared" si="25"/>
        <v>1.2350410970571879E-2</v>
      </c>
      <c r="J811" s="95">
        <f t="shared" si="24"/>
        <v>-1.5696886322292825E-3</v>
      </c>
      <c r="K811" s="37"/>
    </row>
    <row r="812" spans="3:11" x14ac:dyDescent="0.2">
      <c r="C812" s="21">
        <v>44272</v>
      </c>
      <c r="D812">
        <v>237.04</v>
      </c>
      <c r="E812">
        <v>3974.12</v>
      </c>
      <c r="F812">
        <v>29562.1</v>
      </c>
      <c r="I812" s="95">
        <f t="shared" si="25"/>
        <v>-2.8185604307771062E-3</v>
      </c>
      <c r="J812" s="95">
        <f t="shared" si="24"/>
        <v>2.8793426720601367E-3</v>
      </c>
      <c r="K812" s="37"/>
    </row>
    <row r="813" spans="3:11" x14ac:dyDescent="0.2">
      <c r="C813" s="21">
        <v>44273</v>
      </c>
      <c r="D813">
        <v>230.72</v>
      </c>
      <c r="E813">
        <v>3915.46</v>
      </c>
      <c r="F813">
        <v>34852.300000000003</v>
      </c>
      <c r="I813" s="95">
        <f t="shared" si="25"/>
        <v>-2.6662166722915881E-2</v>
      </c>
      <c r="J813" s="95">
        <f t="shared" si="24"/>
        <v>-1.4760500437832724E-2</v>
      </c>
      <c r="K813" s="37"/>
    </row>
    <row r="814" spans="3:11" x14ac:dyDescent="0.2">
      <c r="C814" s="21">
        <v>44274</v>
      </c>
      <c r="D814">
        <v>230.35</v>
      </c>
      <c r="E814">
        <v>3913.1</v>
      </c>
      <c r="F814">
        <v>46430.7</v>
      </c>
      <c r="I814" s="95">
        <f t="shared" si="25"/>
        <v>-1.6036754507628981E-3</v>
      </c>
      <c r="J814" s="95">
        <f t="shared" si="24"/>
        <v>-6.0273888636330764E-4</v>
      </c>
      <c r="K814" s="37"/>
    </row>
    <row r="815" spans="3:11" x14ac:dyDescent="0.2">
      <c r="C815" s="21">
        <v>44277</v>
      </c>
      <c r="D815">
        <v>235.99</v>
      </c>
      <c r="E815">
        <v>3940.59</v>
      </c>
      <c r="F815">
        <v>30127</v>
      </c>
      <c r="I815" s="95">
        <f t="shared" si="25"/>
        <v>2.4484480138919018E-2</v>
      </c>
      <c r="J815" s="95">
        <f t="shared" si="24"/>
        <v>7.0251207482558975E-3</v>
      </c>
      <c r="K815" s="37"/>
    </row>
    <row r="816" spans="3:11" x14ac:dyDescent="0.2">
      <c r="C816" s="21">
        <v>44278</v>
      </c>
      <c r="D816">
        <v>237.58</v>
      </c>
      <c r="E816">
        <v>3910.52</v>
      </c>
      <c r="F816">
        <v>31638.400000000001</v>
      </c>
      <c r="I816" s="95">
        <f t="shared" si="25"/>
        <v>6.7375736260011365E-3</v>
      </c>
      <c r="J816" s="95">
        <f t="shared" si="24"/>
        <v>-7.6308370066411335E-3</v>
      </c>
      <c r="K816" s="37"/>
    </row>
    <row r="817" spans="3:11" x14ac:dyDescent="0.2">
      <c r="C817" s="21">
        <v>44279</v>
      </c>
      <c r="D817">
        <v>235.46</v>
      </c>
      <c r="E817">
        <v>3889.14</v>
      </c>
      <c r="F817">
        <v>25620.1</v>
      </c>
      <c r="I817" s="95">
        <f t="shared" si="25"/>
        <v>-8.9233100429328971E-3</v>
      </c>
      <c r="J817" s="95">
        <f t="shared" si="24"/>
        <v>-5.4673035811094728E-3</v>
      </c>
      <c r="K817" s="37"/>
    </row>
    <row r="818" spans="3:11" x14ac:dyDescent="0.2">
      <c r="C818" s="21">
        <v>44280</v>
      </c>
      <c r="D818">
        <v>232.34</v>
      </c>
      <c r="E818">
        <v>3909.52</v>
      </c>
      <c r="F818">
        <v>34061.9</v>
      </c>
      <c r="I818" s="95">
        <f t="shared" si="25"/>
        <v>-1.3250658285908434E-2</v>
      </c>
      <c r="J818" s="95">
        <f t="shared" si="24"/>
        <v>5.2402330592367097E-3</v>
      </c>
      <c r="K818" s="37"/>
    </row>
    <row r="819" spans="3:11" x14ac:dyDescent="0.2">
      <c r="C819" s="21">
        <v>44281</v>
      </c>
      <c r="D819">
        <v>236.48</v>
      </c>
      <c r="E819">
        <v>3974.54</v>
      </c>
      <c r="F819">
        <v>25479.9</v>
      </c>
      <c r="I819" s="95">
        <f t="shared" si="25"/>
        <v>1.7818713953688503E-2</v>
      </c>
      <c r="J819" s="95">
        <f t="shared" si="24"/>
        <v>1.6631197691788335E-2</v>
      </c>
      <c r="K819" s="37"/>
    </row>
    <row r="820" spans="3:11" x14ac:dyDescent="0.2">
      <c r="C820" s="21">
        <v>44284</v>
      </c>
      <c r="D820">
        <v>235.24</v>
      </c>
      <c r="E820">
        <v>3971.09</v>
      </c>
      <c r="F820">
        <v>25227.5</v>
      </c>
      <c r="I820" s="95">
        <f t="shared" si="25"/>
        <v>-5.2435723951285151E-3</v>
      </c>
      <c r="J820" s="95">
        <f t="shared" si="24"/>
        <v>-8.6802497899118869E-4</v>
      </c>
      <c r="K820" s="37"/>
    </row>
    <row r="821" spans="3:11" x14ac:dyDescent="0.2">
      <c r="C821" s="21">
        <v>44285</v>
      </c>
      <c r="D821">
        <v>231.85</v>
      </c>
      <c r="E821">
        <v>3958.55</v>
      </c>
      <c r="F821">
        <v>24792</v>
      </c>
      <c r="I821" s="95">
        <f t="shared" si="25"/>
        <v>-1.4410814487332169E-2</v>
      </c>
      <c r="J821" s="95">
        <f t="shared" si="24"/>
        <v>-3.1578231669390222E-3</v>
      </c>
      <c r="K821" s="37"/>
    </row>
    <row r="822" spans="3:11" x14ac:dyDescent="0.2">
      <c r="C822" s="21">
        <v>44286</v>
      </c>
      <c r="D822">
        <v>235.77</v>
      </c>
      <c r="E822">
        <v>3972.89</v>
      </c>
      <c r="F822">
        <v>43623.5</v>
      </c>
      <c r="I822" s="95">
        <f t="shared" si="25"/>
        <v>1.6907483286607849E-2</v>
      </c>
      <c r="J822" s="95">
        <f t="shared" si="24"/>
        <v>3.6225385557842049E-3</v>
      </c>
      <c r="K822" s="37"/>
    </row>
    <row r="823" spans="3:11" x14ac:dyDescent="0.2">
      <c r="C823" s="21">
        <v>44287</v>
      </c>
      <c r="D823">
        <v>242.35</v>
      </c>
      <c r="E823">
        <v>4019.87</v>
      </c>
      <c r="F823">
        <v>30338</v>
      </c>
      <c r="I823" s="95">
        <f t="shared" si="25"/>
        <v>2.7908554947618347E-2</v>
      </c>
      <c r="J823" s="95">
        <f t="shared" si="24"/>
        <v>1.1825144919693331E-2</v>
      </c>
      <c r="K823" s="37"/>
    </row>
    <row r="824" spans="3:11" x14ac:dyDescent="0.2">
      <c r="C824" s="21">
        <v>44288</v>
      </c>
      <c r="D824">
        <v>242.35</v>
      </c>
      <c r="E824">
        <v>4019.87</v>
      </c>
      <c r="F824" t="e">
        <v>#N/A</v>
      </c>
      <c r="I824" s="95">
        <f t="shared" si="25"/>
        <v>0</v>
      </c>
      <c r="J824" s="95">
        <f t="shared" si="24"/>
        <v>0</v>
      </c>
      <c r="K824" s="37"/>
    </row>
    <row r="825" spans="3:11" x14ac:dyDescent="0.2">
      <c r="C825" s="21">
        <v>44291</v>
      </c>
      <c r="D825">
        <v>249.07</v>
      </c>
      <c r="E825">
        <v>4077.91</v>
      </c>
      <c r="F825">
        <v>36910.6</v>
      </c>
      <c r="I825" s="95">
        <f t="shared" si="25"/>
        <v>2.7728491850629311E-2</v>
      </c>
      <c r="J825" s="95">
        <f t="shared" si="24"/>
        <v>1.4438277854756487E-2</v>
      </c>
      <c r="K825" s="37"/>
    </row>
    <row r="826" spans="3:11" x14ac:dyDescent="0.2">
      <c r="C826" s="21">
        <v>44292</v>
      </c>
      <c r="D826">
        <v>247.86</v>
      </c>
      <c r="E826">
        <v>4073.94</v>
      </c>
      <c r="F826">
        <v>22931.9</v>
      </c>
      <c r="I826" s="95">
        <f t="shared" si="25"/>
        <v>-4.8580720279438605E-3</v>
      </c>
      <c r="J826" s="95">
        <f t="shared" si="24"/>
        <v>-9.7353791525556233E-4</v>
      </c>
      <c r="K826" s="37"/>
    </row>
    <row r="827" spans="3:11" x14ac:dyDescent="0.2">
      <c r="C827" s="21">
        <v>44293</v>
      </c>
      <c r="D827">
        <v>249.9</v>
      </c>
      <c r="E827">
        <v>4079.95</v>
      </c>
      <c r="F827">
        <v>22719.8</v>
      </c>
      <c r="I827" s="95">
        <f t="shared" si="25"/>
        <v>8.2304526748970819E-3</v>
      </c>
      <c r="J827" s="95">
        <f t="shared" si="24"/>
        <v>1.4752303666720756E-3</v>
      </c>
      <c r="K827" s="37"/>
    </row>
    <row r="828" spans="3:11" x14ac:dyDescent="0.2">
      <c r="C828" s="21">
        <v>44294</v>
      </c>
      <c r="D828">
        <v>253.25</v>
      </c>
      <c r="E828">
        <v>4097.17</v>
      </c>
      <c r="F828">
        <v>23625.200000000001</v>
      </c>
      <c r="I828" s="95">
        <f t="shared" si="25"/>
        <v>1.3405362144857991E-2</v>
      </c>
      <c r="J828" s="95">
        <f t="shared" si="24"/>
        <v>4.220639958823158E-3</v>
      </c>
      <c r="K828" s="37"/>
    </row>
    <row r="829" spans="3:11" x14ac:dyDescent="0.2">
      <c r="C829" s="21">
        <v>44295</v>
      </c>
      <c r="D829">
        <v>255.85</v>
      </c>
      <c r="E829">
        <v>4128.8</v>
      </c>
      <c r="F829">
        <v>24326.799999999999</v>
      </c>
      <c r="I829" s="95">
        <f t="shared" si="25"/>
        <v>1.0266535044422431E-2</v>
      </c>
      <c r="J829" s="95">
        <f t="shared" si="24"/>
        <v>7.7199628035937717E-3</v>
      </c>
      <c r="K829" s="37"/>
    </row>
    <row r="830" spans="3:11" x14ac:dyDescent="0.2">
      <c r="C830" s="21">
        <v>44298</v>
      </c>
      <c r="D830">
        <v>255.91</v>
      </c>
      <c r="E830">
        <v>4127.99</v>
      </c>
      <c r="F830">
        <v>27148.7</v>
      </c>
      <c r="I830" s="95">
        <f t="shared" si="25"/>
        <v>2.3451240961502862E-4</v>
      </c>
      <c r="J830" s="95">
        <f t="shared" si="24"/>
        <v>-1.9618291028877799E-4</v>
      </c>
      <c r="K830" s="37"/>
    </row>
    <row r="831" spans="3:11" x14ac:dyDescent="0.2">
      <c r="C831" s="21">
        <v>44299</v>
      </c>
      <c r="D831">
        <v>258.49</v>
      </c>
      <c r="E831">
        <v>4141.59</v>
      </c>
      <c r="F831">
        <v>23837.5</v>
      </c>
      <c r="I831" s="95">
        <f t="shared" si="25"/>
        <v>1.0081669336876375E-2</v>
      </c>
      <c r="J831" s="95">
        <f t="shared" si="24"/>
        <v>3.2945816244711601E-3</v>
      </c>
      <c r="K831" s="37"/>
    </row>
    <row r="832" spans="3:11" x14ac:dyDescent="0.2">
      <c r="C832" s="21">
        <v>44300</v>
      </c>
      <c r="D832">
        <v>255.59</v>
      </c>
      <c r="E832">
        <v>4124.66</v>
      </c>
      <c r="F832">
        <v>23070.9</v>
      </c>
      <c r="I832" s="95">
        <f t="shared" si="25"/>
        <v>-1.1219002669348943E-2</v>
      </c>
      <c r="J832" s="95">
        <f t="shared" si="24"/>
        <v>-4.0878020277237415E-3</v>
      </c>
      <c r="K832" s="37"/>
    </row>
    <row r="833" spans="3:11" x14ac:dyDescent="0.2">
      <c r="C833" s="21">
        <v>44301</v>
      </c>
      <c r="D833">
        <v>259.5</v>
      </c>
      <c r="E833">
        <v>4170.42</v>
      </c>
      <c r="F833">
        <v>25627.5</v>
      </c>
      <c r="I833" s="95">
        <f t="shared" si="25"/>
        <v>1.5297938103994602E-2</v>
      </c>
      <c r="J833" s="95">
        <f t="shared" si="24"/>
        <v>1.1094247768300924E-2</v>
      </c>
      <c r="K833" s="37"/>
    </row>
    <row r="834" spans="3:11" x14ac:dyDescent="0.2">
      <c r="C834" s="21">
        <v>44302</v>
      </c>
      <c r="D834">
        <v>260.74</v>
      </c>
      <c r="E834">
        <v>4185.47</v>
      </c>
      <c r="F834">
        <v>24878.6</v>
      </c>
      <c r="I834" s="95">
        <f t="shared" si="25"/>
        <v>4.7784200385356801E-3</v>
      </c>
      <c r="J834" s="95">
        <f t="shared" si="24"/>
        <v>3.6087492386858155E-3</v>
      </c>
      <c r="K834" s="37"/>
    </row>
    <row r="835" spans="3:11" x14ac:dyDescent="0.2">
      <c r="C835" s="21">
        <v>44305</v>
      </c>
      <c r="D835">
        <v>258.74</v>
      </c>
      <c r="E835">
        <v>4163.26</v>
      </c>
      <c r="F835">
        <v>23209.3</v>
      </c>
      <c r="I835" s="95">
        <f t="shared" si="25"/>
        <v>-7.6704763365804673E-3</v>
      </c>
      <c r="J835" s="95">
        <f t="shared" si="24"/>
        <v>-5.3064530387267883E-3</v>
      </c>
      <c r="K835" s="37"/>
    </row>
    <row r="836" spans="3:11" x14ac:dyDescent="0.2">
      <c r="C836" s="21">
        <v>44306</v>
      </c>
      <c r="D836">
        <v>258.26</v>
      </c>
      <c r="E836">
        <v>4134.9399999999996</v>
      </c>
      <c r="F836">
        <v>19722.900000000001</v>
      </c>
      <c r="I836" s="95">
        <f t="shared" si="25"/>
        <v>-1.8551441601608598E-3</v>
      </c>
      <c r="J836" s="95">
        <f t="shared" si="24"/>
        <v>-6.8023616108532359E-3</v>
      </c>
      <c r="K836" s="37"/>
    </row>
    <row r="837" spans="3:11" x14ac:dyDescent="0.2">
      <c r="C837" s="21">
        <v>44307</v>
      </c>
      <c r="D837">
        <v>260.58010000000002</v>
      </c>
      <c r="E837">
        <v>4173.42</v>
      </c>
      <c r="F837">
        <v>24030.400000000001</v>
      </c>
      <c r="I837" s="95">
        <f t="shared" si="25"/>
        <v>8.9835824363047045E-3</v>
      </c>
      <c r="J837" s="95">
        <f t="shared" ref="J837:J900" si="26">E837/E836-1</f>
        <v>9.3060600637495661E-3</v>
      </c>
      <c r="K837" s="37"/>
    </row>
    <row r="838" spans="3:11" x14ac:dyDescent="0.2">
      <c r="C838" s="21">
        <v>44308</v>
      </c>
      <c r="D838">
        <v>257.16989999999998</v>
      </c>
      <c r="E838">
        <v>4134.9799999999996</v>
      </c>
      <c r="F838">
        <v>25606.2</v>
      </c>
      <c r="I838" s="95">
        <f t="shared" ref="I838:I901" si="27">D838/D837-1</f>
        <v>-1.3086954836535991E-2</v>
      </c>
      <c r="J838" s="95">
        <f t="shared" si="26"/>
        <v>-9.2106713438859789E-3</v>
      </c>
      <c r="K838" s="37"/>
    </row>
    <row r="839" spans="3:11" x14ac:dyDescent="0.2">
      <c r="C839" s="21">
        <v>44309</v>
      </c>
      <c r="D839">
        <v>261.1499</v>
      </c>
      <c r="E839">
        <v>4180.17</v>
      </c>
      <c r="F839">
        <v>21499.3</v>
      </c>
      <c r="I839" s="95">
        <f t="shared" si="27"/>
        <v>1.5476150202648142E-2</v>
      </c>
      <c r="J839" s="95">
        <f t="shared" si="26"/>
        <v>1.0928710658818286E-2</v>
      </c>
      <c r="K839" s="37"/>
    </row>
    <row r="840" spans="3:11" x14ac:dyDescent="0.2">
      <c r="C840" s="21">
        <v>44312</v>
      </c>
      <c r="D840">
        <v>261.55</v>
      </c>
      <c r="E840">
        <v>4187.62</v>
      </c>
      <c r="F840">
        <v>19763.3</v>
      </c>
      <c r="I840" s="95">
        <f t="shared" si="27"/>
        <v>1.5320702784109574E-3</v>
      </c>
      <c r="J840" s="95">
        <f t="shared" si="26"/>
        <v>1.782224167916624E-3</v>
      </c>
      <c r="K840" s="37"/>
    </row>
    <row r="841" spans="3:11" x14ac:dyDescent="0.2">
      <c r="C841" s="21">
        <v>44313</v>
      </c>
      <c r="D841">
        <v>261.97000000000003</v>
      </c>
      <c r="E841">
        <v>4186.72</v>
      </c>
      <c r="F841">
        <v>31014.2</v>
      </c>
      <c r="I841" s="95">
        <f t="shared" si="27"/>
        <v>1.6058115083159574E-3</v>
      </c>
      <c r="J841" s="95">
        <f t="shared" si="26"/>
        <v>-2.1491921425531579E-4</v>
      </c>
      <c r="K841" s="37"/>
    </row>
    <row r="842" spans="3:11" x14ac:dyDescent="0.2">
      <c r="C842" s="21">
        <v>44314</v>
      </c>
      <c r="D842">
        <v>254.56</v>
      </c>
      <c r="E842">
        <v>4183.18</v>
      </c>
      <c r="F842">
        <v>46903.1</v>
      </c>
      <c r="I842" s="95">
        <f t="shared" si="27"/>
        <v>-2.8285681566591725E-2</v>
      </c>
      <c r="J842" s="95">
        <f t="shared" si="26"/>
        <v>-8.4553063018300012E-4</v>
      </c>
      <c r="K842" s="37"/>
    </row>
    <row r="843" spans="3:11" x14ac:dyDescent="0.2">
      <c r="C843" s="21">
        <v>44315</v>
      </c>
      <c r="D843">
        <v>252.51</v>
      </c>
      <c r="E843">
        <v>4211.47</v>
      </c>
      <c r="F843">
        <v>40589</v>
      </c>
      <c r="I843" s="95">
        <f t="shared" si="27"/>
        <v>-8.0531112507856717E-3</v>
      </c>
      <c r="J843" s="95">
        <f t="shared" si="26"/>
        <v>6.7627976802335787E-3</v>
      </c>
      <c r="K843" s="37"/>
    </row>
    <row r="844" spans="3:11" x14ac:dyDescent="0.2">
      <c r="C844" s="21">
        <v>44316</v>
      </c>
      <c r="D844">
        <v>252.18</v>
      </c>
      <c r="E844">
        <v>4181.17</v>
      </c>
      <c r="F844">
        <v>30945.1</v>
      </c>
      <c r="I844" s="95">
        <f t="shared" si="27"/>
        <v>-1.3068789354876431E-3</v>
      </c>
      <c r="J844" s="95">
        <f t="shared" si="26"/>
        <v>-7.1946375018698827E-3</v>
      </c>
      <c r="K844" s="37"/>
    </row>
    <row r="845" spans="3:11" x14ac:dyDescent="0.2">
      <c r="C845" s="21">
        <v>44319</v>
      </c>
      <c r="D845">
        <v>251.86</v>
      </c>
      <c r="E845">
        <v>4192.66</v>
      </c>
      <c r="F845">
        <v>19626.599999999999</v>
      </c>
      <c r="I845" s="95">
        <f t="shared" si="27"/>
        <v>-1.2689348877785722E-3</v>
      </c>
      <c r="J845" s="95">
        <f t="shared" si="26"/>
        <v>2.7480346410215795E-3</v>
      </c>
      <c r="K845" s="37"/>
    </row>
    <row r="846" spans="3:11" x14ac:dyDescent="0.2">
      <c r="C846" s="21">
        <v>44320</v>
      </c>
      <c r="D846">
        <v>247.79</v>
      </c>
      <c r="E846">
        <v>4164.66</v>
      </c>
      <c r="F846">
        <v>32756.1</v>
      </c>
      <c r="I846" s="95">
        <f t="shared" si="27"/>
        <v>-1.6159771301516801E-2</v>
      </c>
      <c r="J846" s="95">
        <f t="shared" si="26"/>
        <v>-6.6783378571121377E-3</v>
      </c>
      <c r="K846" s="37"/>
    </row>
    <row r="847" spans="3:11" x14ac:dyDescent="0.2">
      <c r="C847" s="21">
        <v>44321</v>
      </c>
      <c r="D847">
        <v>246.47</v>
      </c>
      <c r="E847">
        <v>4167.59</v>
      </c>
      <c r="F847">
        <v>21901.3</v>
      </c>
      <c r="I847" s="95">
        <f t="shared" si="27"/>
        <v>-5.3270914887606491E-3</v>
      </c>
      <c r="J847" s="95">
        <f t="shared" si="26"/>
        <v>7.0353882429774472E-4</v>
      </c>
      <c r="K847" s="37"/>
    </row>
    <row r="848" spans="3:11" x14ac:dyDescent="0.2">
      <c r="C848" s="21">
        <v>44322</v>
      </c>
      <c r="D848">
        <v>249.73</v>
      </c>
      <c r="E848">
        <v>4201.62</v>
      </c>
      <c r="F848">
        <v>26491.1</v>
      </c>
      <c r="I848" s="95">
        <f t="shared" si="27"/>
        <v>1.3226761877713322E-2</v>
      </c>
      <c r="J848" s="95">
        <f t="shared" si="26"/>
        <v>8.1653905494540879E-3</v>
      </c>
      <c r="K848" s="37"/>
    </row>
    <row r="849" spans="3:11" x14ac:dyDescent="0.2">
      <c r="C849" s="21">
        <v>44323</v>
      </c>
      <c r="D849">
        <v>252.46</v>
      </c>
      <c r="E849">
        <v>4232.6000000000004</v>
      </c>
      <c r="F849">
        <v>27032.9</v>
      </c>
      <c r="I849" s="95">
        <f t="shared" si="27"/>
        <v>1.0931806350858997E-2</v>
      </c>
      <c r="J849" s="95">
        <f t="shared" si="26"/>
        <v>7.3733464711231989E-3</v>
      </c>
      <c r="K849" s="37"/>
    </row>
    <row r="850" spans="3:11" x14ac:dyDescent="0.2">
      <c r="C850" s="21">
        <v>44326</v>
      </c>
      <c r="D850">
        <v>247.18</v>
      </c>
      <c r="E850">
        <v>4188.43</v>
      </c>
      <c r="F850">
        <v>29299.9</v>
      </c>
      <c r="I850" s="95">
        <f t="shared" si="27"/>
        <v>-2.0914204230373157E-2</v>
      </c>
      <c r="J850" s="95">
        <f t="shared" si="26"/>
        <v>-1.0435666020885526E-2</v>
      </c>
      <c r="K850" s="37"/>
    </row>
    <row r="851" spans="3:11" x14ac:dyDescent="0.2">
      <c r="C851" s="21">
        <v>44327</v>
      </c>
      <c r="D851">
        <v>246.23</v>
      </c>
      <c r="E851">
        <v>4152.1000000000004</v>
      </c>
      <c r="F851">
        <v>33641.599999999999</v>
      </c>
      <c r="I851" s="95">
        <f t="shared" si="27"/>
        <v>-3.8433530220892687E-3</v>
      </c>
      <c r="J851" s="95">
        <f t="shared" si="26"/>
        <v>-8.6738945141735524E-3</v>
      </c>
      <c r="K851" s="37"/>
    </row>
    <row r="852" spans="3:11" x14ac:dyDescent="0.2">
      <c r="C852" s="21">
        <v>44328</v>
      </c>
      <c r="D852">
        <v>239</v>
      </c>
      <c r="E852">
        <v>4063.04</v>
      </c>
      <c r="F852">
        <v>36684.400000000001</v>
      </c>
      <c r="I852" s="95">
        <f t="shared" si="27"/>
        <v>-2.9362790886569456E-2</v>
      </c>
      <c r="J852" s="95">
        <f t="shared" si="26"/>
        <v>-2.1449387057151936E-2</v>
      </c>
      <c r="K852" s="37"/>
    </row>
    <row r="853" spans="3:11" x14ac:dyDescent="0.2">
      <c r="C853" s="21">
        <v>44329</v>
      </c>
      <c r="D853">
        <v>243.03</v>
      </c>
      <c r="E853">
        <v>4112.5</v>
      </c>
      <c r="F853">
        <v>29624.3</v>
      </c>
      <c r="I853" s="95">
        <f t="shared" si="27"/>
        <v>1.686192468619252E-2</v>
      </c>
      <c r="J853" s="95">
        <f t="shared" si="26"/>
        <v>1.2173151138064053E-2</v>
      </c>
      <c r="K853" s="37"/>
    </row>
    <row r="854" spans="3:11" x14ac:dyDescent="0.2">
      <c r="C854" s="21">
        <v>44330</v>
      </c>
      <c r="D854">
        <v>248.15</v>
      </c>
      <c r="E854">
        <v>4173.8500000000004</v>
      </c>
      <c r="F854">
        <v>23901.1</v>
      </c>
      <c r="I854" s="95">
        <f t="shared" si="27"/>
        <v>2.1067357939348996E-2</v>
      </c>
      <c r="J854" s="95">
        <f t="shared" si="26"/>
        <v>1.4917933130699224E-2</v>
      </c>
      <c r="K854" s="37"/>
    </row>
    <row r="855" spans="3:11" x14ac:dyDescent="0.2">
      <c r="C855" s="21">
        <v>44333</v>
      </c>
      <c r="D855">
        <v>245.18</v>
      </c>
      <c r="E855">
        <v>4163.29</v>
      </c>
      <c r="F855">
        <v>24970.2</v>
      </c>
      <c r="I855" s="95">
        <f t="shared" si="27"/>
        <v>-1.196856739875074E-2</v>
      </c>
      <c r="J855" s="95">
        <f t="shared" si="26"/>
        <v>-2.5300382141189015E-3</v>
      </c>
      <c r="K855" s="37"/>
    </row>
    <row r="856" spans="3:11" x14ac:dyDescent="0.2">
      <c r="C856" s="21">
        <v>44334</v>
      </c>
      <c r="D856">
        <v>243.08</v>
      </c>
      <c r="E856">
        <v>4127.83</v>
      </c>
      <c r="F856">
        <v>20168</v>
      </c>
      <c r="I856" s="95">
        <f t="shared" si="27"/>
        <v>-8.5651358185822035E-3</v>
      </c>
      <c r="J856" s="95">
        <f t="shared" si="26"/>
        <v>-8.5173024218827553E-3</v>
      </c>
      <c r="K856" s="37"/>
    </row>
    <row r="857" spans="3:11" x14ac:dyDescent="0.2">
      <c r="C857" s="21">
        <v>44335</v>
      </c>
      <c r="D857">
        <v>243.12</v>
      </c>
      <c r="E857">
        <v>4115.68</v>
      </c>
      <c r="F857">
        <v>25739.8</v>
      </c>
      <c r="I857" s="95">
        <f t="shared" si="27"/>
        <v>1.6455487905209232E-4</v>
      </c>
      <c r="J857" s="95">
        <f t="shared" si="26"/>
        <v>-2.9434351705374118E-3</v>
      </c>
      <c r="K857" s="37"/>
    </row>
    <row r="858" spans="3:11" x14ac:dyDescent="0.2">
      <c r="C858" s="21">
        <v>44336</v>
      </c>
      <c r="D858">
        <v>246.48</v>
      </c>
      <c r="E858">
        <v>4159.12</v>
      </c>
      <c r="F858">
        <v>21800.7</v>
      </c>
      <c r="I858" s="95">
        <f t="shared" si="27"/>
        <v>1.382033563672258E-2</v>
      </c>
      <c r="J858" s="95">
        <f t="shared" si="26"/>
        <v>1.0554756443649449E-2</v>
      </c>
      <c r="K858" s="37"/>
    </row>
    <row r="859" spans="3:11" x14ac:dyDescent="0.2">
      <c r="C859" s="21">
        <v>44337</v>
      </c>
      <c r="D859">
        <v>245.17</v>
      </c>
      <c r="E859">
        <v>4155.8599999999997</v>
      </c>
      <c r="F859">
        <v>21863.1</v>
      </c>
      <c r="I859" s="95">
        <f t="shared" si="27"/>
        <v>-5.3148328464783789E-3</v>
      </c>
      <c r="J859" s="95">
        <f t="shared" si="26"/>
        <v>-7.8381965415763588E-4</v>
      </c>
      <c r="K859" s="37"/>
    </row>
    <row r="860" spans="3:11" x14ac:dyDescent="0.2">
      <c r="C860" s="21">
        <v>44340</v>
      </c>
      <c r="D860">
        <v>250.78</v>
      </c>
      <c r="E860">
        <v>4197.05</v>
      </c>
      <c r="F860">
        <v>21411.5</v>
      </c>
      <c r="I860" s="95">
        <f t="shared" si="27"/>
        <v>2.2882081820777556E-2</v>
      </c>
      <c r="J860" s="95">
        <f t="shared" si="26"/>
        <v>9.9113059631461553E-3</v>
      </c>
      <c r="K860" s="37"/>
    </row>
    <row r="861" spans="3:11" x14ac:dyDescent="0.2">
      <c r="C861" s="21">
        <v>44341</v>
      </c>
      <c r="D861">
        <v>251.72</v>
      </c>
      <c r="E861">
        <v>4188.13</v>
      </c>
      <c r="F861">
        <v>17704.3</v>
      </c>
      <c r="I861" s="95">
        <f t="shared" si="27"/>
        <v>3.7483052875029177E-3</v>
      </c>
      <c r="J861" s="95">
        <f t="shared" si="26"/>
        <v>-2.1253022956601031E-3</v>
      </c>
      <c r="K861" s="37"/>
    </row>
    <row r="862" spans="3:11" x14ac:dyDescent="0.2">
      <c r="C862" s="21">
        <v>44342</v>
      </c>
      <c r="D862">
        <v>251.49</v>
      </c>
      <c r="E862">
        <v>4195.99</v>
      </c>
      <c r="F862">
        <v>17771.599999999999</v>
      </c>
      <c r="I862" s="95">
        <f t="shared" si="27"/>
        <v>-9.1371365008741101E-4</v>
      </c>
      <c r="J862" s="95">
        <f t="shared" si="26"/>
        <v>1.876732575158746E-3</v>
      </c>
      <c r="K862" s="37"/>
    </row>
    <row r="863" spans="3:11" x14ac:dyDescent="0.2">
      <c r="C863" s="21">
        <v>44343</v>
      </c>
      <c r="D863">
        <v>249.31</v>
      </c>
      <c r="E863">
        <v>4200.88</v>
      </c>
      <c r="F863">
        <v>24426.2</v>
      </c>
      <c r="I863" s="95">
        <f t="shared" si="27"/>
        <v>-8.6683367131894506E-3</v>
      </c>
      <c r="J863" s="95">
        <f t="shared" si="26"/>
        <v>1.1653983922745859E-3</v>
      </c>
      <c r="K863" s="37"/>
    </row>
    <row r="864" spans="3:11" x14ac:dyDescent="0.2">
      <c r="C864" s="21">
        <v>44344</v>
      </c>
      <c r="D864">
        <v>249.68</v>
      </c>
      <c r="E864">
        <v>4204.1099999999997</v>
      </c>
      <c r="F864">
        <v>18274.900000000001</v>
      </c>
      <c r="I864" s="95">
        <f t="shared" si="27"/>
        <v>1.4840961052504653E-3</v>
      </c>
      <c r="J864" s="95">
        <f t="shared" si="26"/>
        <v>7.688865190149663E-4</v>
      </c>
      <c r="K864" s="37"/>
    </row>
    <row r="865" spans="3:11" x14ac:dyDescent="0.2">
      <c r="C865" s="21">
        <v>44347</v>
      </c>
      <c r="D865">
        <v>249.68</v>
      </c>
      <c r="E865">
        <v>4204.1099999999997</v>
      </c>
      <c r="F865" t="e">
        <v>#N/A</v>
      </c>
      <c r="I865" s="95">
        <f t="shared" si="27"/>
        <v>0</v>
      </c>
      <c r="J865" s="95">
        <f t="shared" si="26"/>
        <v>0</v>
      </c>
      <c r="K865" s="37"/>
    </row>
    <row r="866" spans="3:11" x14ac:dyDescent="0.2">
      <c r="C866" s="21">
        <v>44348</v>
      </c>
      <c r="D866">
        <v>247.4</v>
      </c>
      <c r="E866">
        <v>4202.04</v>
      </c>
      <c r="F866">
        <v>23213.3</v>
      </c>
      <c r="I866" s="95">
        <f t="shared" si="27"/>
        <v>-9.1316885613585974E-3</v>
      </c>
      <c r="J866" s="95">
        <f t="shared" si="26"/>
        <v>-4.923753184382651E-4</v>
      </c>
      <c r="K866" s="37"/>
    </row>
    <row r="867" spans="3:11" x14ac:dyDescent="0.2">
      <c r="C867" s="21">
        <v>44349</v>
      </c>
      <c r="D867">
        <v>247.3</v>
      </c>
      <c r="E867">
        <v>4208.12</v>
      </c>
      <c r="F867">
        <v>19406.7</v>
      </c>
      <c r="I867" s="95">
        <f t="shared" si="27"/>
        <v>-4.0420371867422311E-4</v>
      </c>
      <c r="J867" s="95">
        <f t="shared" si="26"/>
        <v>1.4469162597214869E-3</v>
      </c>
      <c r="K867" s="37"/>
    </row>
    <row r="868" spans="3:11" x14ac:dyDescent="0.2">
      <c r="C868" s="21">
        <v>44350</v>
      </c>
      <c r="D868">
        <v>245.71</v>
      </c>
      <c r="E868">
        <v>4192.8500000000004</v>
      </c>
      <c r="F868">
        <v>25307.7</v>
      </c>
      <c r="I868" s="95">
        <f t="shared" si="27"/>
        <v>-6.4294379296401249E-3</v>
      </c>
      <c r="J868" s="95">
        <f t="shared" si="26"/>
        <v>-3.6286988013648491E-3</v>
      </c>
      <c r="K868" s="37"/>
    </row>
    <row r="869" spans="3:11" x14ac:dyDescent="0.2">
      <c r="C869" s="21">
        <v>44351</v>
      </c>
      <c r="D869">
        <v>250.79</v>
      </c>
      <c r="E869">
        <v>4229.8900000000003</v>
      </c>
      <c r="F869">
        <v>25281.1</v>
      </c>
      <c r="I869" s="95">
        <f t="shared" si="27"/>
        <v>2.0674779211265149E-2</v>
      </c>
      <c r="J869" s="95">
        <f t="shared" si="26"/>
        <v>8.8340865998068896E-3</v>
      </c>
      <c r="K869" s="37"/>
    </row>
    <row r="870" spans="3:11" x14ac:dyDescent="0.2">
      <c r="C870" s="21">
        <v>44354</v>
      </c>
      <c r="D870">
        <v>253.81</v>
      </c>
      <c r="E870">
        <v>4226.5200000000004</v>
      </c>
      <c r="F870">
        <v>23079.200000000001</v>
      </c>
      <c r="I870" s="95">
        <f t="shared" si="27"/>
        <v>1.2041947446070456E-2</v>
      </c>
      <c r="J870" s="95">
        <f t="shared" si="26"/>
        <v>-7.9671102558220852E-4</v>
      </c>
      <c r="K870" s="37"/>
    </row>
    <row r="871" spans="3:11" x14ac:dyDescent="0.2">
      <c r="C871" s="21">
        <v>44355</v>
      </c>
      <c r="D871">
        <v>252.57</v>
      </c>
      <c r="E871">
        <v>4227.26</v>
      </c>
      <c r="F871">
        <v>22455</v>
      </c>
      <c r="I871" s="95">
        <f t="shared" si="27"/>
        <v>-4.885544304794931E-3</v>
      </c>
      <c r="J871" s="95">
        <f t="shared" si="26"/>
        <v>1.7508493985585183E-4</v>
      </c>
      <c r="K871" s="37"/>
    </row>
    <row r="872" spans="3:11" x14ac:dyDescent="0.2">
      <c r="C872" s="21">
        <v>44356</v>
      </c>
      <c r="D872">
        <v>253.59</v>
      </c>
      <c r="E872">
        <v>4219.55</v>
      </c>
      <c r="F872">
        <v>17937.599999999999</v>
      </c>
      <c r="I872" s="95">
        <f t="shared" si="27"/>
        <v>4.0384843805678639E-3</v>
      </c>
      <c r="J872" s="95">
        <f t="shared" si="26"/>
        <v>-1.8238764589828538E-3</v>
      </c>
      <c r="K872" s="37"/>
    </row>
    <row r="873" spans="3:11" x14ac:dyDescent="0.2">
      <c r="C873" s="21">
        <v>44357</v>
      </c>
      <c r="D873">
        <v>257.24</v>
      </c>
      <c r="E873">
        <v>4239.18</v>
      </c>
      <c r="F873">
        <v>24563.599999999999</v>
      </c>
      <c r="I873" s="95">
        <f t="shared" si="27"/>
        <v>1.43933120391182E-2</v>
      </c>
      <c r="J873" s="95">
        <f t="shared" si="26"/>
        <v>4.652154850635748E-3</v>
      </c>
      <c r="K873" s="37"/>
    </row>
    <row r="874" spans="3:11" x14ac:dyDescent="0.2">
      <c r="C874" s="21">
        <v>44358</v>
      </c>
      <c r="D874">
        <v>257.88990000000001</v>
      </c>
      <c r="E874">
        <v>4247.4399999999996</v>
      </c>
      <c r="F874">
        <v>18999.7</v>
      </c>
      <c r="I874" s="95">
        <f t="shared" si="27"/>
        <v>2.5264344580935294E-3</v>
      </c>
      <c r="J874" s="95">
        <f t="shared" si="26"/>
        <v>1.9484900381676606E-3</v>
      </c>
      <c r="K874" s="37"/>
    </row>
    <row r="875" spans="3:11" x14ac:dyDescent="0.2">
      <c r="C875" s="21">
        <v>44361</v>
      </c>
      <c r="D875">
        <v>259.88990000000001</v>
      </c>
      <c r="E875">
        <v>4255.1499999999996</v>
      </c>
      <c r="F875">
        <v>19150.5</v>
      </c>
      <c r="I875" s="95">
        <f t="shared" si="27"/>
        <v>7.7552474912743197E-3</v>
      </c>
      <c r="J875" s="95">
        <f t="shared" si="26"/>
        <v>1.8152110447704484E-3</v>
      </c>
      <c r="K875" s="37"/>
    </row>
    <row r="876" spans="3:11" x14ac:dyDescent="0.2">
      <c r="C876" s="21">
        <v>44362</v>
      </c>
      <c r="D876">
        <v>258.36009999999999</v>
      </c>
      <c r="E876">
        <v>4246.59</v>
      </c>
      <c r="F876">
        <v>18038.900000000001</v>
      </c>
      <c r="I876" s="95">
        <f t="shared" si="27"/>
        <v>-5.8863387919270149E-3</v>
      </c>
      <c r="J876" s="95">
        <f t="shared" si="26"/>
        <v>-2.0116799642784233E-3</v>
      </c>
      <c r="K876" s="37"/>
    </row>
    <row r="877" spans="3:11" x14ac:dyDescent="0.2">
      <c r="C877" s="21">
        <v>44363</v>
      </c>
      <c r="D877">
        <v>257.37990000000002</v>
      </c>
      <c r="E877">
        <v>4223.7</v>
      </c>
      <c r="F877">
        <v>27220</v>
      </c>
      <c r="I877" s="95">
        <f t="shared" si="27"/>
        <v>-3.7939294805968693E-3</v>
      </c>
      <c r="J877" s="95">
        <f t="shared" si="26"/>
        <v>-5.3902072015429292E-3</v>
      </c>
      <c r="K877" s="37"/>
    </row>
    <row r="878" spans="3:11" x14ac:dyDescent="0.2">
      <c r="C878" s="21">
        <v>44364</v>
      </c>
      <c r="D878">
        <v>260.8999</v>
      </c>
      <c r="E878">
        <v>4221.8599999999997</v>
      </c>
      <c r="F878">
        <v>27565.5</v>
      </c>
      <c r="I878" s="95">
        <f t="shared" si="27"/>
        <v>1.3676281636600063E-2</v>
      </c>
      <c r="J878" s="95">
        <f t="shared" si="26"/>
        <v>-4.3563700073401268E-4</v>
      </c>
      <c r="K878" s="37"/>
    </row>
    <row r="879" spans="3:11" x14ac:dyDescent="0.2">
      <c r="C879" s="21">
        <v>44365</v>
      </c>
      <c r="D879">
        <v>259.42989999999998</v>
      </c>
      <c r="E879">
        <v>4166.45</v>
      </c>
      <c r="F879">
        <v>37202.199999999997</v>
      </c>
      <c r="I879" s="95">
        <f t="shared" si="27"/>
        <v>-5.634344819603343E-3</v>
      </c>
      <c r="J879" s="95">
        <f t="shared" si="26"/>
        <v>-1.3124547000611053E-2</v>
      </c>
      <c r="K879" s="37"/>
    </row>
    <row r="880" spans="3:11" x14ac:dyDescent="0.2">
      <c r="C880" s="21">
        <v>44368</v>
      </c>
      <c r="D880">
        <v>262.62990000000002</v>
      </c>
      <c r="E880">
        <v>4224.79</v>
      </c>
      <c r="F880">
        <v>26696.1</v>
      </c>
      <c r="I880" s="95">
        <f t="shared" si="27"/>
        <v>1.2334738594125261E-2</v>
      </c>
      <c r="J880" s="95">
        <f t="shared" si="26"/>
        <v>1.4002328121062391E-2</v>
      </c>
      <c r="K880" s="37"/>
    </row>
    <row r="881" spans="3:11" x14ac:dyDescent="0.2">
      <c r="C881" s="21">
        <v>44369</v>
      </c>
      <c r="D881">
        <v>265.51</v>
      </c>
      <c r="E881">
        <v>4246.4399999999996</v>
      </c>
      <c r="F881">
        <v>24694.1</v>
      </c>
      <c r="I881" s="95">
        <f t="shared" si="27"/>
        <v>1.0966382730983604E-2</v>
      </c>
      <c r="J881" s="95">
        <f t="shared" si="26"/>
        <v>5.124515064653945E-3</v>
      </c>
      <c r="K881" s="37"/>
    </row>
    <row r="882" spans="3:11" x14ac:dyDescent="0.2">
      <c r="C882" s="21">
        <v>44370</v>
      </c>
      <c r="D882">
        <v>265.2749</v>
      </c>
      <c r="E882">
        <v>4241.84</v>
      </c>
      <c r="F882">
        <v>19518.7</v>
      </c>
      <c r="I882" s="95">
        <f t="shared" si="27"/>
        <v>-8.8546570750624998E-4</v>
      </c>
      <c r="J882" s="95">
        <f t="shared" si="26"/>
        <v>-1.0832603310065858E-3</v>
      </c>
      <c r="K882" s="37"/>
    </row>
    <row r="883" spans="3:11" x14ac:dyDescent="0.2">
      <c r="C883" s="21">
        <v>44371</v>
      </c>
      <c r="D883">
        <v>266.68990000000002</v>
      </c>
      <c r="E883">
        <v>4266.49</v>
      </c>
      <c r="F883">
        <v>21446.9</v>
      </c>
      <c r="I883" s="95">
        <f t="shared" si="27"/>
        <v>5.3340892787068217E-3</v>
      </c>
      <c r="J883" s="95">
        <f t="shared" si="26"/>
        <v>5.8111574222505791E-3</v>
      </c>
      <c r="K883" s="37"/>
    </row>
    <row r="884" spans="3:11" x14ac:dyDescent="0.2">
      <c r="C884" s="21">
        <v>44372</v>
      </c>
      <c r="D884">
        <v>265.02</v>
      </c>
      <c r="E884">
        <v>4280.7</v>
      </c>
      <c r="F884">
        <v>25611.1</v>
      </c>
      <c r="I884" s="95">
        <f t="shared" si="27"/>
        <v>-6.261579459889699E-3</v>
      </c>
      <c r="J884" s="95">
        <f t="shared" si="26"/>
        <v>3.3306066579319449E-3</v>
      </c>
      <c r="K884" s="37"/>
    </row>
    <row r="885" spans="3:11" x14ac:dyDescent="0.2">
      <c r="C885" s="21">
        <v>44375</v>
      </c>
      <c r="D885">
        <v>268.72000000000003</v>
      </c>
      <c r="E885">
        <v>4290.6099999999997</v>
      </c>
      <c r="F885">
        <v>19590</v>
      </c>
      <c r="I885" s="95">
        <f t="shared" si="27"/>
        <v>1.3961210474681351E-2</v>
      </c>
      <c r="J885" s="95">
        <f t="shared" si="26"/>
        <v>2.3150419323942906E-3</v>
      </c>
      <c r="K885" s="37"/>
    </row>
    <row r="886" spans="3:11" x14ac:dyDescent="0.2">
      <c r="C886" s="21">
        <v>44376</v>
      </c>
      <c r="D886">
        <v>271.3999</v>
      </c>
      <c r="E886">
        <v>4291.8</v>
      </c>
      <c r="F886">
        <v>19937.8</v>
      </c>
      <c r="I886" s="95">
        <f t="shared" si="27"/>
        <v>9.9728341768381412E-3</v>
      </c>
      <c r="J886" s="95">
        <f t="shared" si="26"/>
        <v>2.7734984069871516E-4</v>
      </c>
      <c r="K886" s="37"/>
    </row>
    <row r="887" spans="3:11" x14ac:dyDescent="0.2">
      <c r="C887" s="21">
        <v>44377</v>
      </c>
      <c r="D887">
        <v>270.8999</v>
      </c>
      <c r="E887">
        <v>4297.5</v>
      </c>
      <c r="F887">
        <v>21656.5</v>
      </c>
      <c r="I887" s="95">
        <f t="shared" si="27"/>
        <v>-1.8422998682018354E-3</v>
      </c>
      <c r="J887" s="95">
        <f t="shared" si="26"/>
        <v>1.3281140780092571E-3</v>
      </c>
      <c r="K887" s="37"/>
    </row>
    <row r="888" spans="3:11" x14ac:dyDescent="0.2">
      <c r="C888" s="21">
        <v>44378</v>
      </c>
      <c r="D888">
        <v>271.6001</v>
      </c>
      <c r="E888">
        <v>4319.9399999999996</v>
      </c>
      <c r="F888">
        <v>16725.3</v>
      </c>
      <c r="I888" s="95">
        <f t="shared" si="27"/>
        <v>2.5847185620961888E-3</v>
      </c>
      <c r="J888" s="95">
        <f t="shared" si="26"/>
        <v>5.2216404886560319E-3</v>
      </c>
      <c r="K888" s="37"/>
    </row>
    <row r="889" spans="3:11" x14ac:dyDescent="0.2">
      <c r="C889" s="21">
        <v>44379</v>
      </c>
      <c r="D889">
        <v>277.6499</v>
      </c>
      <c r="E889">
        <v>4352.34</v>
      </c>
      <c r="F889">
        <v>26474.400000000001</v>
      </c>
      <c r="I889" s="95">
        <f t="shared" si="27"/>
        <v>2.2274660429064674E-2</v>
      </c>
      <c r="J889" s="95">
        <f t="shared" si="26"/>
        <v>7.5001041681135305E-3</v>
      </c>
      <c r="K889" s="37"/>
    </row>
    <row r="890" spans="3:11" x14ac:dyDescent="0.2">
      <c r="C890" s="21">
        <v>44382</v>
      </c>
      <c r="D890">
        <v>277.6499</v>
      </c>
      <c r="E890">
        <v>4352.34</v>
      </c>
      <c r="F890" t="e">
        <v>#N/A</v>
      </c>
      <c r="I890" s="95">
        <f t="shared" si="27"/>
        <v>0</v>
      </c>
      <c r="J890" s="95">
        <f t="shared" si="26"/>
        <v>0</v>
      </c>
      <c r="K890" s="37"/>
    </row>
    <row r="891" spans="3:11" x14ac:dyDescent="0.2">
      <c r="C891" s="21">
        <v>44383</v>
      </c>
      <c r="D891">
        <v>277.65989999999999</v>
      </c>
      <c r="E891">
        <v>4343.54</v>
      </c>
      <c r="F891">
        <v>31565.599999999999</v>
      </c>
      <c r="I891" s="95">
        <f t="shared" si="27"/>
        <v>3.6016580593045688E-5</v>
      </c>
      <c r="J891" s="95">
        <f t="shared" si="26"/>
        <v>-2.0219008625245172E-3</v>
      </c>
      <c r="K891" s="37"/>
    </row>
    <row r="892" spans="3:11" x14ac:dyDescent="0.2">
      <c r="C892" s="21">
        <v>44384</v>
      </c>
      <c r="D892">
        <v>279.92989999999998</v>
      </c>
      <c r="E892">
        <v>4358.13</v>
      </c>
      <c r="F892">
        <v>23260</v>
      </c>
      <c r="I892" s="95">
        <f t="shared" si="27"/>
        <v>8.1754693421700608E-3</v>
      </c>
      <c r="J892" s="95">
        <f t="shared" si="26"/>
        <v>3.359011313352811E-3</v>
      </c>
      <c r="K892" s="37"/>
    </row>
    <row r="893" spans="3:11" x14ac:dyDescent="0.2">
      <c r="C893" s="21">
        <v>44385</v>
      </c>
      <c r="D893">
        <v>277.41989999999998</v>
      </c>
      <c r="E893">
        <v>4320.82</v>
      </c>
      <c r="F893">
        <v>24618.6</v>
      </c>
      <c r="I893" s="95">
        <f t="shared" si="27"/>
        <v>-8.966530549255336E-3</v>
      </c>
      <c r="J893" s="95">
        <f t="shared" si="26"/>
        <v>-8.56101125941644E-3</v>
      </c>
      <c r="K893" s="37"/>
    </row>
    <row r="894" spans="3:11" x14ac:dyDescent="0.2">
      <c r="C894" s="21">
        <v>44386</v>
      </c>
      <c r="D894">
        <v>277.93990000000002</v>
      </c>
      <c r="E894">
        <v>4369.55</v>
      </c>
      <c r="F894">
        <v>23916.7</v>
      </c>
      <c r="I894" s="95">
        <f t="shared" si="27"/>
        <v>1.8744149212079897E-3</v>
      </c>
      <c r="J894" s="95">
        <f t="shared" si="26"/>
        <v>1.1277951870247049E-2</v>
      </c>
      <c r="K894" s="37"/>
    </row>
    <row r="895" spans="3:11" x14ac:dyDescent="0.2">
      <c r="C895" s="21">
        <v>44389</v>
      </c>
      <c r="D895">
        <v>277.32010000000002</v>
      </c>
      <c r="E895">
        <v>4384.63</v>
      </c>
      <c r="F895">
        <v>18931.7</v>
      </c>
      <c r="I895" s="95">
        <f t="shared" si="27"/>
        <v>-2.2299784953510038E-3</v>
      </c>
      <c r="J895" s="95">
        <f t="shared" si="26"/>
        <v>3.4511562975592103E-3</v>
      </c>
      <c r="K895" s="37"/>
    </row>
    <row r="896" spans="3:11" x14ac:dyDescent="0.2">
      <c r="C896" s="21">
        <v>44390</v>
      </c>
      <c r="D896">
        <v>280.98</v>
      </c>
      <c r="E896">
        <v>4369.21</v>
      </c>
      <c r="F896">
        <v>26120.1</v>
      </c>
      <c r="I896" s="95">
        <f t="shared" si="27"/>
        <v>1.3197384538661261E-2</v>
      </c>
      <c r="J896" s="95">
        <f t="shared" si="26"/>
        <v>-3.516830382495284E-3</v>
      </c>
      <c r="K896" s="37"/>
    </row>
    <row r="897" spans="3:11" x14ac:dyDescent="0.2">
      <c r="C897" s="21">
        <v>44391</v>
      </c>
      <c r="D897">
        <v>282.51</v>
      </c>
      <c r="E897">
        <v>4374.3</v>
      </c>
      <c r="F897">
        <v>23113.7</v>
      </c>
      <c r="I897" s="95">
        <f t="shared" si="27"/>
        <v>5.44522741832143E-3</v>
      </c>
      <c r="J897" s="95">
        <f t="shared" si="26"/>
        <v>1.1649703264435818E-3</v>
      </c>
      <c r="K897" s="37"/>
    </row>
    <row r="898" spans="3:11" x14ac:dyDescent="0.2">
      <c r="C898" s="21">
        <v>44392</v>
      </c>
      <c r="D898">
        <v>281.02999999999997</v>
      </c>
      <c r="E898">
        <v>4360.03</v>
      </c>
      <c r="F898">
        <v>22604.2</v>
      </c>
      <c r="I898" s="95">
        <f t="shared" si="27"/>
        <v>-5.2387526105270865E-3</v>
      </c>
      <c r="J898" s="95">
        <f t="shared" si="26"/>
        <v>-3.2622362435132946E-3</v>
      </c>
      <c r="K898" s="37"/>
    </row>
    <row r="899" spans="3:11" x14ac:dyDescent="0.2">
      <c r="C899" s="21">
        <v>44393</v>
      </c>
      <c r="D899">
        <v>280.75</v>
      </c>
      <c r="E899">
        <v>4327.16</v>
      </c>
      <c r="F899">
        <v>26186.799999999999</v>
      </c>
      <c r="I899" s="95">
        <f t="shared" si="27"/>
        <v>-9.9633491086348336E-4</v>
      </c>
      <c r="J899" s="95">
        <f t="shared" si="26"/>
        <v>-7.5389389522548811E-3</v>
      </c>
      <c r="K899" s="37"/>
    </row>
    <row r="900" spans="3:11" x14ac:dyDescent="0.2">
      <c r="C900" s="21">
        <v>44396</v>
      </c>
      <c r="D900">
        <v>277.01</v>
      </c>
      <c r="E900">
        <v>4258.49</v>
      </c>
      <c r="F900">
        <v>32935.599999999999</v>
      </c>
      <c r="I900" s="95">
        <f t="shared" si="27"/>
        <v>-1.3321460373998284E-2</v>
      </c>
      <c r="J900" s="95">
        <f t="shared" si="26"/>
        <v>-1.5869531055010655E-2</v>
      </c>
      <c r="K900" s="37"/>
    </row>
    <row r="901" spans="3:11" x14ac:dyDescent="0.2">
      <c r="C901" s="21">
        <v>44397</v>
      </c>
      <c r="D901">
        <v>279.32010000000002</v>
      </c>
      <c r="E901">
        <v>4323.0600000000004</v>
      </c>
      <c r="F901">
        <v>26259.7</v>
      </c>
      <c r="I901" s="95">
        <f t="shared" si="27"/>
        <v>8.3394101295983791E-3</v>
      </c>
      <c r="J901" s="95">
        <f t="shared" ref="J901:J964" si="28">E901/E900-1</f>
        <v>1.516265155019747E-2</v>
      </c>
      <c r="K901" s="37"/>
    </row>
    <row r="902" spans="3:11" x14ac:dyDescent="0.2">
      <c r="C902" s="21">
        <v>44398</v>
      </c>
      <c r="D902">
        <v>281.3999</v>
      </c>
      <c r="E902">
        <v>4358.6899999999996</v>
      </c>
      <c r="F902">
        <v>24364.3</v>
      </c>
      <c r="I902" s="95">
        <f t="shared" ref="I902:I965" si="29">D902/D901-1</f>
        <v>7.4459374746034257E-3</v>
      </c>
      <c r="J902" s="95">
        <f t="shared" si="28"/>
        <v>8.2418472100778128E-3</v>
      </c>
      <c r="K902" s="37"/>
    </row>
    <row r="903" spans="3:11" x14ac:dyDescent="0.2">
      <c r="C903" s="21">
        <v>44399</v>
      </c>
      <c r="D903">
        <v>286.13990000000001</v>
      </c>
      <c r="E903">
        <v>4367.4799999999996</v>
      </c>
      <c r="F903">
        <v>23384.1</v>
      </c>
      <c r="I903" s="95">
        <f t="shared" si="29"/>
        <v>1.6844355666082445E-2</v>
      </c>
      <c r="J903" s="95">
        <f t="shared" si="28"/>
        <v>2.0166609692362503E-3</v>
      </c>
      <c r="K903" s="37"/>
    </row>
    <row r="904" spans="3:11" x14ac:dyDescent="0.2">
      <c r="C904" s="21">
        <v>44400</v>
      </c>
      <c r="D904">
        <v>289.66989999999998</v>
      </c>
      <c r="E904">
        <v>4411.79</v>
      </c>
      <c r="F904">
        <v>22768.1</v>
      </c>
      <c r="I904" s="95">
        <f t="shared" si="29"/>
        <v>1.2336622749920423E-2</v>
      </c>
      <c r="J904" s="95">
        <f t="shared" si="28"/>
        <v>1.0145438559535647E-2</v>
      </c>
      <c r="K904" s="37"/>
    </row>
    <row r="905" spans="3:11" x14ac:dyDescent="0.2">
      <c r="C905" s="21">
        <v>44403</v>
      </c>
      <c r="D905">
        <v>289.05</v>
      </c>
      <c r="E905">
        <v>4422.3</v>
      </c>
      <c r="F905">
        <v>23176.1</v>
      </c>
      <c r="I905" s="95">
        <f t="shared" si="29"/>
        <v>-2.1400221424454635E-3</v>
      </c>
      <c r="J905" s="95">
        <f t="shared" si="28"/>
        <v>2.382253008416102E-3</v>
      </c>
      <c r="K905" s="37"/>
    </row>
    <row r="906" spans="3:11" x14ac:dyDescent="0.2">
      <c r="C906" s="21">
        <v>44404</v>
      </c>
      <c r="D906">
        <v>286.54000000000002</v>
      </c>
      <c r="E906">
        <v>4401.46</v>
      </c>
      <c r="F906">
        <v>33604.1</v>
      </c>
      <c r="I906" s="95">
        <f t="shared" si="29"/>
        <v>-8.6836187510811458E-3</v>
      </c>
      <c r="J906" s="95">
        <f t="shared" si="28"/>
        <v>-4.7124799312575627E-3</v>
      </c>
      <c r="K906" s="37"/>
    </row>
    <row r="907" spans="3:11" x14ac:dyDescent="0.2">
      <c r="C907" s="21">
        <v>44405</v>
      </c>
      <c r="D907">
        <v>286.22000000000003</v>
      </c>
      <c r="E907">
        <v>4400.6400000000003</v>
      </c>
      <c r="F907">
        <v>33566.9</v>
      </c>
      <c r="I907" s="95">
        <f t="shared" si="29"/>
        <v>-1.1167725273958373E-3</v>
      </c>
      <c r="J907" s="95">
        <f t="shared" si="28"/>
        <v>-1.8630181803303003E-4</v>
      </c>
      <c r="K907" s="37"/>
    </row>
    <row r="908" spans="3:11" x14ac:dyDescent="0.2">
      <c r="C908" s="21">
        <v>44406</v>
      </c>
      <c r="D908">
        <v>286.5</v>
      </c>
      <c r="E908">
        <v>4419.1499999999996</v>
      </c>
      <c r="F908">
        <v>18168.3</v>
      </c>
      <c r="I908" s="95">
        <f t="shared" si="29"/>
        <v>9.782684648171891E-4</v>
      </c>
      <c r="J908" s="95">
        <f t="shared" si="28"/>
        <v>4.2062063699823682E-3</v>
      </c>
      <c r="K908" s="37"/>
    </row>
    <row r="909" spans="3:11" x14ac:dyDescent="0.2">
      <c r="C909" s="21">
        <v>44407</v>
      </c>
      <c r="D909">
        <v>284.90989999999999</v>
      </c>
      <c r="E909">
        <v>4395.26</v>
      </c>
      <c r="F909">
        <v>20944.8</v>
      </c>
      <c r="I909" s="95">
        <f t="shared" si="29"/>
        <v>-5.5500872600349194E-3</v>
      </c>
      <c r="J909" s="95">
        <f t="shared" si="28"/>
        <v>-5.4060169942181657E-3</v>
      </c>
      <c r="K909" s="37"/>
    </row>
    <row r="910" spans="3:11" x14ac:dyDescent="0.2">
      <c r="C910" s="21">
        <v>44410</v>
      </c>
      <c r="D910">
        <v>284.82010000000002</v>
      </c>
      <c r="E910">
        <v>4387.16</v>
      </c>
      <c r="F910">
        <v>16267.4</v>
      </c>
      <c r="I910" s="95">
        <f t="shared" si="29"/>
        <v>-3.1518736274160908E-4</v>
      </c>
      <c r="J910" s="95">
        <f t="shared" si="28"/>
        <v>-1.8428943907755624E-3</v>
      </c>
      <c r="K910" s="37"/>
    </row>
    <row r="911" spans="3:11" x14ac:dyDescent="0.2">
      <c r="C911" s="21">
        <v>44411</v>
      </c>
      <c r="D911">
        <v>287.12009999999998</v>
      </c>
      <c r="E911">
        <v>4423.1499999999996</v>
      </c>
      <c r="F911">
        <v>17879</v>
      </c>
      <c r="I911" s="95">
        <f t="shared" si="29"/>
        <v>8.075272777447795E-3</v>
      </c>
      <c r="J911" s="95">
        <f t="shared" si="28"/>
        <v>8.2034847144849543E-3</v>
      </c>
      <c r="K911" s="37"/>
    </row>
    <row r="912" spans="3:11" x14ac:dyDescent="0.2">
      <c r="C912" s="21">
        <v>44412</v>
      </c>
      <c r="D912">
        <v>286.51</v>
      </c>
      <c r="E912">
        <v>4402.66</v>
      </c>
      <c r="F912">
        <v>16191.3</v>
      </c>
      <c r="I912" s="95">
        <f t="shared" si="29"/>
        <v>-2.1248947739986868E-3</v>
      </c>
      <c r="J912" s="95">
        <f t="shared" si="28"/>
        <v>-4.6324452030791496E-3</v>
      </c>
      <c r="K912" s="37"/>
    </row>
    <row r="913" spans="3:11" x14ac:dyDescent="0.2">
      <c r="C913" s="21">
        <v>44413</v>
      </c>
      <c r="D913">
        <v>289.52</v>
      </c>
      <c r="E913">
        <v>4429.1000000000004</v>
      </c>
      <c r="F913">
        <v>13900.2</v>
      </c>
      <c r="I913" s="95">
        <f t="shared" si="29"/>
        <v>1.0505741509894806E-2</v>
      </c>
      <c r="J913" s="95">
        <f t="shared" si="28"/>
        <v>6.0054603353427716E-3</v>
      </c>
      <c r="K913" s="37"/>
    </row>
    <row r="914" spans="3:11" x14ac:dyDescent="0.2">
      <c r="C914" s="21">
        <v>44414</v>
      </c>
      <c r="D914">
        <v>289.45999999999998</v>
      </c>
      <c r="E914">
        <v>4436.5200000000004</v>
      </c>
      <c r="F914">
        <v>16589.3</v>
      </c>
      <c r="I914" s="95">
        <f t="shared" si="29"/>
        <v>-2.0723956894175277E-4</v>
      </c>
      <c r="J914" s="95">
        <f t="shared" si="28"/>
        <v>1.6752839177258672E-3</v>
      </c>
      <c r="K914" s="37"/>
    </row>
    <row r="915" spans="3:11" x14ac:dyDescent="0.2">
      <c r="C915" s="21">
        <v>44417</v>
      </c>
      <c r="D915">
        <v>288.33010000000002</v>
      </c>
      <c r="E915">
        <v>4432.3500000000004</v>
      </c>
      <c r="F915">
        <v>16117.6</v>
      </c>
      <c r="I915" s="95">
        <f t="shared" si="29"/>
        <v>-3.9034754370205205E-3</v>
      </c>
      <c r="J915" s="95">
        <f t="shared" si="28"/>
        <v>-9.3992588785807296E-4</v>
      </c>
      <c r="K915" s="37"/>
    </row>
    <row r="916" spans="3:11" x14ac:dyDescent="0.2">
      <c r="C916" s="21">
        <v>44418</v>
      </c>
      <c r="D916">
        <v>286.43990000000002</v>
      </c>
      <c r="E916">
        <v>4436.75</v>
      </c>
      <c r="F916">
        <v>18616.599999999999</v>
      </c>
      <c r="I916" s="95">
        <f t="shared" si="29"/>
        <v>-6.5556804509830924E-3</v>
      </c>
      <c r="J916" s="95">
        <f t="shared" si="28"/>
        <v>9.9270138865370505E-4</v>
      </c>
      <c r="K916" s="37"/>
    </row>
    <row r="917" spans="3:11" x14ac:dyDescent="0.2">
      <c r="C917" s="21">
        <v>44419</v>
      </c>
      <c r="D917">
        <v>286.95</v>
      </c>
      <c r="E917">
        <v>4447.7</v>
      </c>
      <c r="F917">
        <v>13955.9</v>
      </c>
      <c r="I917" s="95">
        <f t="shared" si="29"/>
        <v>1.7808273218917758E-3</v>
      </c>
      <c r="J917" s="95">
        <f t="shared" si="28"/>
        <v>2.4680227644109376E-3</v>
      </c>
      <c r="K917" s="37"/>
    </row>
    <row r="918" spans="3:11" x14ac:dyDescent="0.2">
      <c r="C918" s="21">
        <v>44420</v>
      </c>
      <c r="D918">
        <v>289.81009999999998</v>
      </c>
      <c r="E918">
        <v>4460.83</v>
      </c>
      <c r="F918">
        <v>14570.4</v>
      </c>
      <c r="I918" s="95">
        <f t="shared" si="29"/>
        <v>9.9672416797351726E-3</v>
      </c>
      <c r="J918" s="95">
        <f t="shared" si="28"/>
        <v>2.9520875958359838E-3</v>
      </c>
      <c r="K918" s="37"/>
    </row>
    <row r="919" spans="3:11" x14ac:dyDescent="0.2">
      <c r="C919" s="21">
        <v>44421</v>
      </c>
      <c r="D919">
        <v>292.8501</v>
      </c>
      <c r="E919">
        <v>4468</v>
      </c>
      <c r="F919">
        <v>18249</v>
      </c>
      <c r="I919" s="95">
        <f t="shared" si="29"/>
        <v>1.0489627518157629E-2</v>
      </c>
      <c r="J919" s="95">
        <f t="shared" si="28"/>
        <v>1.6073241975147479E-3</v>
      </c>
      <c r="K919" s="37"/>
    </row>
    <row r="920" spans="3:11" x14ac:dyDescent="0.2">
      <c r="C920" s="21">
        <v>44424</v>
      </c>
      <c r="D920">
        <v>294.6001</v>
      </c>
      <c r="E920">
        <v>4479.71</v>
      </c>
      <c r="F920">
        <v>22516</v>
      </c>
      <c r="I920" s="95">
        <f t="shared" si="29"/>
        <v>5.9757534656807998E-3</v>
      </c>
      <c r="J920" s="95">
        <f t="shared" si="28"/>
        <v>2.6208594449417255E-3</v>
      </c>
      <c r="K920" s="37"/>
    </row>
    <row r="921" spans="3:11" x14ac:dyDescent="0.2">
      <c r="C921" s="21">
        <v>44425</v>
      </c>
      <c r="D921">
        <v>293.08010000000002</v>
      </c>
      <c r="E921">
        <v>4448.08</v>
      </c>
      <c r="F921">
        <v>20075.3</v>
      </c>
      <c r="I921" s="95">
        <f t="shared" si="29"/>
        <v>-5.1595366057241021E-3</v>
      </c>
      <c r="J921" s="95">
        <f t="shared" si="28"/>
        <v>-7.0607249129965854E-3</v>
      </c>
      <c r="K921" s="37"/>
    </row>
    <row r="922" spans="3:11" x14ac:dyDescent="0.2">
      <c r="C922" s="21">
        <v>44426</v>
      </c>
      <c r="D922">
        <v>290.73</v>
      </c>
      <c r="E922">
        <v>4400.2700000000004</v>
      </c>
      <c r="F922">
        <v>21813</v>
      </c>
      <c r="I922" s="95">
        <f t="shared" si="29"/>
        <v>-8.0186269896864726E-3</v>
      </c>
      <c r="J922" s="95">
        <f t="shared" si="28"/>
        <v>-1.0748457761550978E-2</v>
      </c>
      <c r="K922" s="37"/>
    </row>
    <row r="923" spans="3:11" x14ac:dyDescent="0.2">
      <c r="C923" s="21">
        <v>44427</v>
      </c>
      <c r="D923">
        <v>296.77</v>
      </c>
      <c r="E923">
        <v>4405.8</v>
      </c>
      <c r="F923">
        <v>29850.5</v>
      </c>
      <c r="I923" s="95">
        <f t="shared" si="29"/>
        <v>2.0775289787775542E-2</v>
      </c>
      <c r="J923" s="95">
        <f t="shared" si="28"/>
        <v>1.2567410636163956E-3</v>
      </c>
      <c r="K923" s="37"/>
    </row>
    <row r="924" spans="3:11" x14ac:dyDescent="0.2">
      <c r="C924" s="21">
        <v>44428</v>
      </c>
      <c r="D924">
        <v>304.36009999999999</v>
      </c>
      <c r="E924">
        <v>4441.67</v>
      </c>
      <c r="F924">
        <v>40817.599999999999</v>
      </c>
      <c r="I924" s="95">
        <f t="shared" si="29"/>
        <v>2.5575698352259257E-2</v>
      </c>
      <c r="J924" s="95">
        <f t="shared" si="28"/>
        <v>8.1415406963547543E-3</v>
      </c>
      <c r="K924" s="37"/>
    </row>
    <row r="925" spans="3:11" x14ac:dyDescent="0.2">
      <c r="C925" s="21">
        <v>44431</v>
      </c>
      <c r="D925">
        <v>304.6499</v>
      </c>
      <c r="E925">
        <v>4479.53</v>
      </c>
      <c r="F925">
        <v>22830.2</v>
      </c>
      <c r="I925" s="95">
        <f t="shared" si="29"/>
        <v>9.5216160068289923E-4</v>
      </c>
      <c r="J925" s="95">
        <f t="shared" si="28"/>
        <v>8.5238209952562816E-3</v>
      </c>
      <c r="K925" s="37"/>
    </row>
    <row r="926" spans="3:11" x14ac:dyDescent="0.2">
      <c r="C926" s="21">
        <v>44432</v>
      </c>
      <c r="D926">
        <v>302.62009999999998</v>
      </c>
      <c r="E926">
        <v>4486.2299999999996</v>
      </c>
      <c r="F926">
        <v>18175.8</v>
      </c>
      <c r="I926" s="95">
        <f t="shared" si="29"/>
        <v>-6.6627299073461765E-3</v>
      </c>
      <c r="J926" s="95">
        <f t="shared" si="28"/>
        <v>1.4956926284677152E-3</v>
      </c>
      <c r="K926" s="37"/>
    </row>
    <row r="927" spans="3:11" x14ac:dyDescent="0.2">
      <c r="C927" s="21">
        <v>44433</v>
      </c>
      <c r="D927">
        <v>302.01</v>
      </c>
      <c r="E927">
        <v>4496.1899999999996</v>
      </c>
      <c r="F927">
        <v>20006.099999999999</v>
      </c>
      <c r="I927" s="95">
        <f t="shared" si="29"/>
        <v>-2.0160590786930666E-3</v>
      </c>
      <c r="J927" s="95">
        <f t="shared" si="28"/>
        <v>2.2201269217136943E-3</v>
      </c>
      <c r="K927" s="37"/>
    </row>
    <row r="928" spans="3:11" x14ac:dyDescent="0.2">
      <c r="C928" s="21">
        <v>44434</v>
      </c>
      <c r="D928">
        <v>299.09010000000001</v>
      </c>
      <c r="E928">
        <v>4470</v>
      </c>
      <c r="F928">
        <v>17666.099999999999</v>
      </c>
      <c r="I928" s="95">
        <f t="shared" si="29"/>
        <v>-9.6682229065262471E-3</v>
      </c>
      <c r="J928" s="95">
        <f t="shared" si="28"/>
        <v>-5.8249317755698637E-3</v>
      </c>
      <c r="K928" s="37"/>
    </row>
    <row r="929" spans="3:11" x14ac:dyDescent="0.2">
      <c r="C929" s="21">
        <v>44435</v>
      </c>
      <c r="D929">
        <v>299.72000000000003</v>
      </c>
      <c r="E929">
        <v>4509.37</v>
      </c>
      <c r="F929">
        <v>22605.7</v>
      </c>
      <c r="I929" s="95">
        <f t="shared" si="29"/>
        <v>2.1060543294479928E-3</v>
      </c>
      <c r="J929" s="95">
        <f t="shared" si="28"/>
        <v>8.8076062639821373E-3</v>
      </c>
      <c r="K929" s="37"/>
    </row>
    <row r="930" spans="3:11" x14ac:dyDescent="0.2">
      <c r="C930" s="21">
        <v>44438</v>
      </c>
      <c r="D930">
        <v>303.59010000000001</v>
      </c>
      <c r="E930">
        <v>4528.79</v>
      </c>
      <c r="F930">
        <v>16348.1</v>
      </c>
      <c r="I930" s="95">
        <f t="shared" si="29"/>
        <v>1.2912384892566298E-2</v>
      </c>
      <c r="J930" s="95">
        <f t="shared" si="28"/>
        <v>4.30658828173347E-3</v>
      </c>
      <c r="K930" s="37"/>
    </row>
    <row r="931" spans="3:11" x14ac:dyDescent="0.2">
      <c r="C931" s="21">
        <v>44439</v>
      </c>
      <c r="D931">
        <v>301.87990000000002</v>
      </c>
      <c r="E931">
        <v>4522.68</v>
      </c>
      <c r="F931">
        <v>26285.3</v>
      </c>
      <c r="I931" s="95">
        <f t="shared" si="29"/>
        <v>-5.6332535217715751E-3</v>
      </c>
      <c r="J931" s="95">
        <f t="shared" si="28"/>
        <v>-1.349146239944865E-3</v>
      </c>
      <c r="K931" s="37"/>
    </row>
    <row r="932" spans="3:11" x14ac:dyDescent="0.2">
      <c r="C932" s="21">
        <v>44440</v>
      </c>
      <c r="D932">
        <v>301.83010000000002</v>
      </c>
      <c r="E932">
        <v>4524.09</v>
      </c>
      <c r="F932">
        <v>18983.8</v>
      </c>
      <c r="I932" s="95">
        <f t="shared" si="29"/>
        <v>-1.6496626638606848E-4</v>
      </c>
      <c r="J932" s="95">
        <f t="shared" si="28"/>
        <v>3.117620525883158E-4</v>
      </c>
      <c r="K932" s="37"/>
    </row>
    <row r="933" spans="3:11" x14ac:dyDescent="0.2">
      <c r="C933" s="21">
        <v>44441</v>
      </c>
      <c r="D933">
        <v>301.1499</v>
      </c>
      <c r="E933">
        <v>4536.95</v>
      </c>
      <c r="F933">
        <v>16290.5</v>
      </c>
      <c r="I933" s="95">
        <f t="shared" si="29"/>
        <v>-2.2535857093113343E-3</v>
      </c>
      <c r="J933" s="95">
        <f t="shared" si="28"/>
        <v>2.8425606033477546E-3</v>
      </c>
      <c r="K933" s="37"/>
    </row>
    <row r="934" spans="3:11" x14ac:dyDescent="0.2">
      <c r="C934" s="21">
        <v>44442</v>
      </c>
      <c r="D934">
        <v>301.13990000000001</v>
      </c>
      <c r="E934">
        <v>4535.43</v>
      </c>
      <c r="F934">
        <v>14751.6</v>
      </c>
      <c r="I934" s="95">
        <f t="shared" si="29"/>
        <v>-3.3206054526280226E-5</v>
      </c>
      <c r="J934" s="95">
        <f t="shared" si="28"/>
        <v>-3.3502683520858501E-4</v>
      </c>
      <c r="K934" s="37"/>
    </row>
    <row r="935" spans="3:11" x14ac:dyDescent="0.2">
      <c r="C935" s="21">
        <v>44445</v>
      </c>
      <c r="D935">
        <v>301.13990000000001</v>
      </c>
      <c r="E935">
        <v>4535.43</v>
      </c>
      <c r="F935" t="e">
        <v>#N/A</v>
      </c>
      <c r="I935" s="95">
        <f t="shared" si="29"/>
        <v>0</v>
      </c>
      <c r="J935" s="95">
        <f t="shared" si="28"/>
        <v>0</v>
      </c>
      <c r="K935" s="37"/>
    </row>
    <row r="936" spans="3:11" x14ac:dyDescent="0.2">
      <c r="C936" s="21">
        <v>44446</v>
      </c>
      <c r="D936">
        <v>300.17989999999998</v>
      </c>
      <c r="E936">
        <v>4520.03</v>
      </c>
      <c r="F936">
        <v>17184.099999999999</v>
      </c>
      <c r="I936" s="95">
        <f t="shared" si="29"/>
        <v>-3.1878870916807189E-3</v>
      </c>
      <c r="J936" s="95">
        <f t="shared" si="28"/>
        <v>-3.3954884101398131E-3</v>
      </c>
      <c r="K936" s="37"/>
    </row>
    <row r="937" spans="3:11" x14ac:dyDescent="0.2">
      <c r="C937" s="21">
        <v>44447</v>
      </c>
      <c r="D937">
        <v>300.20999999999998</v>
      </c>
      <c r="E937">
        <v>4514.07</v>
      </c>
      <c r="F937">
        <v>15046.8</v>
      </c>
      <c r="I937" s="95">
        <f t="shared" si="29"/>
        <v>1.0027320283612084E-4</v>
      </c>
      <c r="J937" s="95">
        <f t="shared" si="28"/>
        <v>-1.3185753191903293E-3</v>
      </c>
      <c r="K937" s="37"/>
    </row>
    <row r="938" spans="3:11" x14ac:dyDescent="0.2">
      <c r="C938" s="21">
        <v>44448</v>
      </c>
      <c r="D938">
        <v>297.25</v>
      </c>
      <c r="E938">
        <v>4493.28</v>
      </c>
      <c r="F938">
        <v>19927</v>
      </c>
      <c r="I938" s="95">
        <f t="shared" si="29"/>
        <v>-9.8597648312847008E-3</v>
      </c>
      <c r="J938" s="95">
        <f t="shared" si="28"/>
        <v>-4.6055998245485563E-3</v>
      </c>
      <c r="K938" s="37"/>
    </row>
    <row r="939" spans="3:11" x14ac:dyDescent="0.2">
      <c r="C939" s="21">
        <v>44449</v>
      </c>
      <c r="D939">
        <v>295.70999999999998</v>
      </c>
      <c r="E939">
        <v>4458.58</v>
      </c>
      <c r="F939">
        <v>19633.400000000001</v>
      </c>
      <c r="I939" s="95">
        <f t="shared" si="29"/>
        <v>-5.1808242220353629E-3</v>
      </c>
      <c r="J939" s="95">
        <f t="shared" si="28"/>
        <v>-7.7226435922087555E-3</v>
      </c>
      <c r="K939" s="37"/>
    </row>
    <row r="940" spans="3:11" x14ac:dyDescent="0.2">
      <c r="C940" s="21">
        <v>44452</v>
      </c>
      <c r="D940">
        <v>296.99</v>
      </c>
      <c r="E940">
        <v>4468.7299999999996</v>
      </c>
      <c r="F940">
        <v>23652.9</v>
      </c>
      <c r="I940" s="95">
        <f t="shared" si="29"/>
        <v>4.3285651482871668E-3</v>
      </c>
      <c r="J940" s="95">
        <f t="shared" si="28"/>
        <v>2.2765095613401787E-3</v>
      </c>
      <c r="K940" s="37"/>
    </row>
    <row r="941" spans="3:11" x14ac:dyDescent="0.2">
      <c r="C941" s="21">
        <v>44453</v>
      </c>
      <c r="D941">
        <v>299.79000000000002</v>
      </c>
      <c r="E941">
        <v>4443.05</v>
      </c>
      <c r="F941">
        <v>21853.4</v>
      </c>
      <c r="I941" s="95">
        <f t="shared" si="29"/>
        <v>9.4279268662245119E-3</v>
      </c>
      <c r="J941" s="95">
        <f t="shared" si="28"/>
        <v>-5.7465991456183696E-3</v>
      </c>
      <c r="K941" s="37"/>
    </row>
    <row r="942" spans="3:11" x14ac:dyDescent="0.2">
      <c r="C942" s="21">
        <v>44454</v>
      </c>
      <c r="D942">
        <v>304.82010000000002</v>
      </c>
      <c r="E942">
        <v>4480.7</v>
      </c>
      <c r="F942">
        <v>28356.3</v>
      </c>
      <c r="I942" s="95">
        <f t="shared" si="29"/>
        <v>1.6778745121585059E-2</v>
      </c>
      <c r="J942" s="95">
        <f t="shared" si="28"/>
        <v>8.4739086888510062E-3</v>
      </c>
      <c r="K942" s="37"/>
    </row>
    <row r="943" spans="3:11" x14ac:dyDescent="0.2">
      <c r="C943" s="21">
        <v>44455</v>
      </c>
      <c r="D943">
        <v>305.22000000000003</v>
      </c>
      <c r="E943">
        <v>4473.75</v>
      </c>
      <c r="F943">
        <v>19550.8</v>
      </c>
      <c r="I943" s="95">
        <f t="shared" si="29"/>
        <v>1.3119213595167434E-3</v>
      </c>
      <c r="J943" s="95">
        <f t="shared" si="28"/>
        <v>-1.5510969268194286E-3</v>
      </c>
      <c r="K943" s="37"/>
    </row>
    <row r="944" spans="3:11" x14ac:dyDescent="0.2">
      <c r="C944" s="21">
        <v>44456</v>
      </c>
      <c r="D944">
        <v>299.87009999999998</v>
      </c>
      <c r="E944">
        <v>4432.99</v>
      </c>
      <c r="F944">
        <v>41372.5</v>
      </c>
      <c r="I944" s="95">
        <f t="shared" si="29"/>
        <v>-1.7528012581089158E-2</v>
      </c>
      <c r="J944" s="95">
        <f t="shared" si="28"/>
        <v>-9.1109248393406173E-3</v>
      </c>
      <c r="K944" s="37"/>
    </row>
    <row r="945" spans="3:11" x14ac:dyDescent="0.2">
      <c r="C945" s="21">
        <v>44459</v>
      </c>
      <c r="D945">
        <v>294.3</v>
      </c>
      <c r="E945">
        <v>4357.7299999999996</v>
      </c>
      <c r="F945">
        <v>38278.699999999997</v>
      </c>
      <c r="I945" s="95">
        <f t="shared" si="29"/>
        <v>-1.857504299361612E-2</v>
      </c>
      <c r="J945" s="95">
        <f t="shared" si="28"/>
        <v>-1.6977254629493954E-2</v>
      </c>
      <c r="K945" s="37"/>
    </row>
    <row r="946" spans="3:11" x14ac:dyDescent="0.2">
      <c r="C946" s="21">
        <v>44460</v>
      </c>
      <c r="D946">
        <v>294.8</v>
      </c>
      <c r="E946">
        <v>4354.1899999999996</v>
      </c>
      <c r="F946">
        <v>22364.1</v>
      </c>
      <c r="I946" s="95">
        <f t="shared" si="29"/>
        <v>1.6989466530750175E-3</v>
      </c>
      <c r="J946" s="95">
        <f t="shared" si="28"/>
        <v>-8.1234954896236555E-4</v>
      </c>
      <c r="K946" s="37"/>
    </row>
    <row r="947" spans="3:11" x14ac:dyDescent="0.2">
      <c r="C947" s="21">
        <v>44461</v>
      </c>
      <c r="D947">
        <v>298.58010000000002</v>
      </c>
      <c r="E947">
        <v>4395.6400000000003</v>
      </c>
      <c r="F947">
        <v>26626.3</v>
      </c>
      <c r="I947" s="95">
        <f t="shared" si="29"/>
        <v>1.2822591587517085E-2</v>
      </c>
      <c r="J947" s="95">
        <f t="shared" si="28"/>
        <v>9.5195662109373025E-3</v>
      </c>
      <c r="K947" s="37"/>
    </row>
    <row r="948" spans="3:11" x14ac:dyDescent="0.2">
      <c r="C948" s="21">
        <v>44462</v>
      </c>
      <c r="D948">
        <v>299.56009999999998</v>
      </c>
      <c r="E948">
        <v>4448.9799999999996</v>
      </c>
      <c r="F948">
        <v>18604.599999999999</v>
      </c>
      <c r="I948" s="95">
        <f t="shared" si="29"/>
        <v>3.282201325540246E-3</v>
      </c>
      <c r="J948" s="95">
        <f t="shared" si="28"/>
        <v>1.2134751708511082E-2</v>
      </c>
      <c r="K948" s="37"/>
    </row>
    <row r="949" spans="3:11" x14ac:dyDescent="0.2">
      <c r="C949" s="21">
        <v>44463</v>
      </c>
      <c r="D949">
        <v>299.3501</v>
      </c>
      <c r="E949">
        <v>4455.4799999999996</v>
      </c>
      <c r="F949">
        <v>14999</v>
      </c>
      <c r="I949" s="95">
        <f t="shared" si="29"/>
        <v>-7.0102794063686691E-4</v>
      </c>
      <c r="J949" s="95">
        <f t="shared" si="28"/>
        <v>1.4610090402744635E-3</v>
      </c>
      <c r="K949" s="37"/>
    </row>
    <row r="950" spans="3:11" x14ac:dyDescent="0.2">
      <c r="C950" s="21">
        <v>44466</v>
      </c>
      <c r="D950">
        <v>294.16989999999998</v>
      </c>
      <c r="E950">
        <v>4443.1099999999997</v>
      </c>
      <c r="F950">
        <v>23571.7</v>
      </c>
      <c r="I950" s="95">
        <f t="shared" si="29"/>
        <v>-1.730482134463962E-2</v>
      </c>
      <c r="J950" s="95">
        <f t="shared" si="28"/>
        <v>-2.7763563072890074E-3</v>
      </c>
      <c r="K950" s="37"/>
    </row>
    <row r="951" spans="3:11" x14ac:dyDescent="0.2">
      <c r="C951" s="21">
        <v>44467</v>
      </c>
      <c r="D951">
        <v>283.52</v>
      </c>
      <c r="E951">
        <v>4352.63</v>
      </c>
      <c r="F951">
        <v>43186.2</v>
      </c>
      <c r="I951" s="95">
        <f t="shared" si="29"/>
        <v>-3.6203228134489618E-2</v>
      </c>
      <c r="J951" s="95">
        <f t="shared" si="28"/>
        <v>-2.0364114325326033E-2</v>
      </c>
      <c r="K951" s="37"/>
    </row>
    <row r="952" spans="3:11" x14ac:dyDescent="0.2">
      <c r="C952" s="21">
        <v>44468</v>
      </c>
      <c r="D952">
        <v>284</v>
      </c>
      <c r="E952">
        <v>4359.46</v>
      </c>
      <c r="F952">
        <v>26353.7</v>
      </c>
      <c r="I952" s="95">
        <f t="shared" si="29"/>
        <v>1.6930022573364845E-3</v>
      </c>
      <c r="J952" s="95">
        <f t="shared" si="28"/>
        <v>1.5691662282344421E-3</v>
      </c>
      <c r="K952" s="37"/>
    </row>
    <row r="953" spans="3:11" x14ac:dyDescent="0.2">
      <c r="C953" s="21">
        <v>44469</v>
      </c>
      <c r="D953">
        <v>281.91989999999998</v>
      </c>
      <c r="E953">
        <v>4307.54</v>
      </c>
      <c r="F953">
        <v>32343.599999999999</v>
      </c>
      <c r="I953" s="95">
        <f t="shared" si="29"/>
        <v>-7.3242957746479931E-3</v>
      </c>
      <c r="J953" s="95">
        <f t="shared" si="28"/>
        <v>-1.1909731939276913E-2</v>
      </c>
      <c r="K953" s="37"/>
    </row>
    <row r="954" spans="3:11" x14ac:dyDescent="0.2">
      <c r="C954" s="21">
        <v>44470</v>
      </c>
      <c r="D954">
        <v>289.1001</v>
      </c>
      <c r="E954">
        <v>4357.04</v>
      </c>
      <c r="F954">
        <v>30086.3</v>
      </c>
      <c r="I954" s="95">
        <f t="shared" si="29"/>
        <v>2.5468936389378749E-2</v>
      </c>
      <c r="J954" s="95">
        <f t="shared" si="28"/>
        <v>1.1491477734391298E-2</v>
      </c>
      <c r="K954" s="37"/>
    </row>
    <row r="955" spans="3:11" x14ac:dyDescent="0.2">
      <c r="C955" s="21">
        <v>44473</v>
      </c>
      <c r="D955">
        <v>283.11009999999999</v>
      </c>
      <c r="E955">
        <v>4300.46</v>
      </c>
      <c r="F955">
        <v>31350.7</v>
      </c>
      <c r="I955" s="95">
        <f t="shared" si="29"/>
        <v>-2.0719467063484265E-2</v>
      </c>
      <c r="J955" s="95">
        <f t="shared" si="28"/>
        <v>-1.2985880322420762E-2</v>
      </c>
      <c r="K955" s="37"/>
    </row>
    <row r="956" spans="3:11" x14ac:dyDescent="0.2">
      <c r="C956" s="21">
        <v>44474</v>
      </c>
      <c r="D956">
        <v>288.76</v>
      </c>
      <c r="E956">
        <v>4345.72</v>
      </c>
      <c r="F956">
        <v>24993</v>
      </c>
      <c r="I956" s="95">
        <f t="shared" si="29"/>
        <v>1.9956546940571807E-2</v>
      </c>
      <c r="J956" s="95">
        <f t="shared" si="28"/>
        <v>1.0524455523362564E-2</v>
      </c>
      <c r="K956" s="37"/>
    </row>
    <row r="957" spans="3:11" x14ac:dyDescent="0.2">
      <c r="C957" s="21">
        <v>44475</v>
      </c>
      <c r="D957">
        <v>293.11009999999999</v>
      </c>
      <c r="E957">
        <v>4363.55</v>
      </c>
      <c r="F957">
        <v>28002.6</v>
      </c>
      <c r="I957" s="95">
        <f t="shared" si="29"/>
        <v>1.5064759662003047E-2</v>
      </c>
      <c r="J957" s="95">
        <f t="shared" si="28"/>
        <v>4.1028874386752623E-3</v>
      </c>
      <c r="K957" s="37"/>
    </row>
    <row r="958" spans="3:11" x14ac:dyDescent="0.2">
      <c r="C958" s="21">
        <v>44476</v>
      </c>
      <c r="D958">
        <v>294.8501</v>
      </c>
      <c r="E958">
        <v>4399.76</v>
      </c>
      <c r="F958">
        <v>20430.5</v>
      </c>
      <c r="I958" s="95">
        <f t="shared" si="29"/>
        <v>5.9363358683306444E-3</v>
      </c>
      <c r="J958" s="95">
        <f t="shared" si="28"/>
        <v>8.2982892369745098E-3</v>
      </c>
      <c r="K958" s="37"/>
    </row>
    <row r="959" spans="3:11" x14ac:dyDescent="0.2">
      <c r="C959" s="21">
        <v>44477</v>
      </c>
      <c r="D959">
        <v>294.8501</v>
      </c>
      <c r="E959">
        <v>4391.34</v>
      </c>
      <c r="F959">
        <v>17685.7</v>
      </c>
      <c r="I959" s="95">
        <f t="shared" si="29"/>
        <v>0</v>
      </c>
      <c r="J959" s="95">
        <f t="shared" si="28"/>
        <v>-1.9137407494954628E-3</v>
      </c>
      <c r="K959" s="37"/>
    </row>
    <row r="960" spans="3:11" x14ac:dyDescent="0.2">
      <c r="C960" s="21">
        <v>44480</v>
      </c>
      <c r="D960">
        <v>294.23</v>
      </c>
      <c r="E960">
        <v>4361.1899999999996</v>
      </c>
      <c r="F960">
        <v>19298.599999999999</v>
      </c>
      <c r="I960" s="95">
        <f t="shared" si="29"/>
        <v>-2.1031025595716901E-3</v>
      </c>
      <c r="J960" s="95">
        <f t="shared" si="28"/>
        <v>-6.8657858421348195E-3</v>
      </c>
      <c r="K960" s="37"/>
    </row>
    <row r="961" spans="2:11" x14ac:dyDescent="0.2">
      <c r="C961" s="21">
        <v>44481</v>
      </c>
      <c r="D961">
        <v>292.87990000000002</v>
      </c>
      <c r="E961">
        <v>4350.6499999999996</v>
      </c>
      <c r="F961">
        <v>17974.099999999999</v>
      </c>
      <c r="I961" s="95">
        <f t="shared" si="29"/>
        <v>-4.5885871597050043E-3</v>
      </c>
      <c r="J961" s="95">
        <f t="shared" si="28"/>
        <v>-2.4167715692277048E-3</v>
      </c>
      <c r="K961" s="37"/>
    </row>
    <row r="962" spans="2:11" x14ac:dyDescent="0.2">
      <c r="C962" s="21">
        <v>44482</v>
      </c>
      <c r="D962">
        <v>296.31009999999998</v>
      </c>
      <c r="E962">
        <v>4363.8</v>
      </c>
      <c r="F962">
        <v>23424</v>
      </c>
      <c r="I962" s="95">
        <f t="shared" si="29"/>
        <v>1.1711967943173862E-2</v>
      </c>
      <c r="J962" s="95">
        <f t="shared" si="28"/>
        <v>3.0225368623080229E-3</v>
      </c>
      <c r="K962" s="37"/>
    </row>
    <row r="963" spans="2:11" x14ac:dyDescent="0.2">
      <c r="C963" s="21">
        <v>44483</v>
      </c>
      <c r="D963">
        <v>302.75</v>
      </c>
      <c r="E963">
        <v>4438.26</v>
      </c>
      <c r="F963">
        <v>27262.9</v>
      </c>
      <c r="I963" s="95">
        <f t="shared" si="29"/>
        <v>2.1733649983581405E-2</v>
      </c>
      <c r="J963" s="95">
        <f t="shared" si="28"/>
        <v>1.706311013337003E-2</v>
      </c>
      <c r="K963" s="37"/>
    </row>
    <row r="964" spans="2:11" x14ac:dyDescent="0.2">
      <c r="C964" s="21">
        <v>44484</v>
      </c>
      <c r="D964">
        <v>304.20999999999998</v>
      </c>
      <c r="E964">
        <v>4471.37</v>
      </c>
      <c r="F964">
        <v>25384.799999999999</v>
      </c>
      <c r="I964" s="95">
        <f t="shared" si="29"/>
        <v>4.8224607762179517E-3</v>
      </c>
      <c r="J964" s="95">
        <f t="shared" si="28"/>
        <v>7.4601307719690535E-3</v>
      </c>
      <c r="K964" s="37"/>
    </row>
    <row r="965" spans="2:11" x14ac:dyDescent="0.2">
      <c r="C965" s="21">
        <v>44487</v>
      </c>
      <c r="D965">
        <v>307.29000000000002</v>
      </c>
      <c r="E965">
        <v>4486.46</v>
      </c>
      <c r="F965">
        <v>22729.3</v>
      </c>
      <c r="I965" s="95">
        <f t="shared" si="29"/>
        <v>1.0124584990631513E-2</v>
      </c>
      <c r="J965" s="95">
        <f t="shared" ref="J965:J1028" si="30">E965/E964-1</f>
        <v>3.3748045900920953E-3</v>
      </c>
      <c r="K965" s="37"/>
    </row>
    <row r="966" spans="2:11" x14ac:dyDescent="0.2">
      <c r="C966" s="21">
        <v>44488</v>
      </c>
      <c r="D966">
        <v>308.23</v>
      </c>
      <c r="E966">
        <v>4519.63</v>
      </c>
      <c r="F966">
        <v>17682.099999999999</v>
      </c>
      <c r="I966" s="95">
        <f t="shared" ref="I966:I1029" si="31">D966/D965-1</f>
        <v>3.0589996420320453E-3</v>
      </c>
      <c r="J966" s="95">
        <f t="shared" si="30"/>
        <v>7.3933569005406596E-3</v>
      </c>
      <c r="K966" s="37"/>
    </row>
    <row r="967" spans="2:11" x14ac:dyDescent="0.2">
      <c r="C967" s="21">
        <v>44489</v>
      </c>
      <c r="D967">
        <v>307.40989999999999</v>
      </c>
      <c r="E967">
        <v>4536.1899999999996</v>
      </c>
      <c r="F967">
        <v>16537.099999999999</v>
      </c>
      <c r="I967" s="95">
        <f t="shared" si="31"/>
        <v>-2.6606754696169022E-3</v>
      </c>
      <c r="J967" s="95">
        <f t="shared" si="30"/>
        <v>3.6640167447334893E-3</v>
      </c>
      <c r="K967" s="37"/>
    </row>
    <row r="968" spans="2:11" x14ac:dyDescent="0.2">
      <c r="C968" s="21">
        <v>44490</v>
      </c>
      <c r="D968">
        <v>310.76</v>
      </c>
      <c r="E968">
        <v>4549.78</v>
      </c>
      <c r="F968">
        <v>16918.099999999999</v>
      </c>
      <c r="I968" s="95">
        <f t="shared" si="31"/>
        <v>1.089782729833999E-2</v>
      </c>
      <c r="J968" s="95">
        <f t="shared" si="30"/>
        <v>2.995906256131331E-3</v>
      </c>
      <c r="K968" s="37"/>
    </row>
    <row r="969" spans="2:11" x14ac:dyDescent="0.2">
      <c r="C969" s="21">
        <v>44491</v>
      </c>
      <c r="D969">
        <v>309.15989999999999</v>
      </c>
      <c r="E969">
        <v>4544.8999999999996</v>
      </c>
      <c r="F969">
        <v>17449.3</v>
      </c>
      <c r="I969" s="95">
        <f t="shared" si="31"/>
        <v>-5.1489895739477154E-3</v>
      </c>
      <c r="J969" s="95">
        <f t="shared" si="30"/>
        <v>-1.0725793335062406E-3</v>
      </c>
      <c r="K969" s="37"/>
    </row>
    <row r="970" spans="2:11" x14ac:dyDescent="0.2">
      <c r="C970" s="21">
        <v>44494</v>
      </c>
      <c r="D970">
        <v>308.12990000000002</v>
      </c>
      <c r="E970">
        <v>4566.4799999999996</v>
      </c>
      <c r="F970">
        <v>17554.5</v>
      </c>
      <c r="I970" s="95">
        <f t="shared" si="31"/>
        <v>-3.3316093063815444E-3</v>
      </c>
      <c r="J970" s="95">
        <f t="shared" si="30"/>
        <v>4.7481792778718557E-3</v>
      </c>
      <c r="K970" s="37"/>
    </row>
    <row r="971" spans="2:11" x14ac:dyDescent="0.2">
      <c r="C971" s="21">
        <v>44495</v>
      </c>
      <c r="D971">
        <v>310.11009999999999</v>
      </c>
      <c r="E971">
        <v>4574.79</v>
      </c>
      <c r="F971">
        <v>28107.3</v>
      </c>
      <c r="I971" s="95">
        <f t="shared" si="31"/>
        <v>6.4265103776035559E-3</v>
      </c>
      <c r="J971" s="95">
        <f t="shared" si="30"/>
        <v>1.8197824144636776E-3</v>
      </c>
      <c r="K971" s="37"/>
    </row>
    <row r="972" spans="2:11" x14ac:dyDescent="0.2">
      <c r="C972" s="21">
        <v>44496</v>
      </c>
      <c r="D972">
        <v>323.16989999999998</v>
      </c>
      <c r="E972">
        <v>4551.68</v>
      </c>
      <c r="F972">
        <v>52588.7</v>
      </c>
      <c r="I972" s="95">
        <f t="shared" si="31"/>
        <v>4.2113430036622379E-2</v>
      </c>
      <c r="J972" s="95">
        <f t="shared" si="30"/>
        <v>-5.0515979968478453E-3</v>
      </c>
      <c r="K972" s="37"/>
    </row>
    <row r="973" spans="2:11" x14ac:dyDescent="0.2">
      <c r="C973" s="21">
        <v>44497</v>
      </c>
      <c r="D973">
        <v>324.3501</v>
      </c>
      <c r="E973">
        <v>4596.42</v>
      </c>
      <c r="F973">
        <v>26297.9</v>
      </c>
      <c r="I973" s="95">
        <f t="shared" si="31"/>
        <v>3.6519490212423289E-3</v>
      </c>
      <c r="J973" s="95">
        <f t="shared" si="30"/>
        <v>9.8293377390326064E-3</v>
      </c>
      <c r="K973" s="37"/>
    </row>
    <row r="974" spans="2:11" x14ac:dyDescent="0.2">
      <c r="C974" s="21">
        <v>44498</v>
      </c>
      <c r="D974">
        <v>331.62009999999998</v>
      </c>
      <c r="E974">
        <v>4605.38</v>
      </c>
      <c r="F974">
        <v>34766</v>
      </c>
      <c r="I974" s="95">
        <f t="shared" si="31"/>
        <v>2.2414051976552551E-2</v>
      </c>
      <c r="J974" s="95">
        <f t="shared" si="30"/>
        <v>1.9493431844783693E-3</v>
      </c>
      <c r="K974" s="37"/>
    </row>
    <row r="975" spans="2:11" x14ac:dyDescent="0.2">
      <c r="B975" s="20" t="str">
        <f t="shared" ref="B975:B978" si="32">TEXT(C975,"ddd")</f>
        <v>Mon</v>
      </c>
      <c r="C975" s="21">
        <v>44501</v>
      </c>
      <c r="D975">
        <v>329.37009999999998</v>
      </c>
      <c r="E975">
        <v>4613.67</v>
      </c>
      <c r="F975">
        <v>27073.200000000001</v>
      </c>
      <c r="I975" s="95">
        <f t="shared" si="31"/>
        <v>-6.7848722076858659E-3</v>
      </c>
      <c r="J975" s="95">
        <f t="shared" si="30"/>
        <v>1.8000686154020507E-3</v>
      </c>
      <c r="K975" s="37"/>
    </row>
    <row r="976" spans="2:11" x14ac:dyDescent="0.2">
      <c r="B976" s="20" t="str">
        <f t="shared" si="32"/>
        <v>Tue</v>
      </c>
      <c r="C976" s="21">
        <v>44502</v>
      </c>
      <c r="D976">
        <v>333.12990000000002</v>
      </c>
      <c r="E976">
        <v>4630.6499999999996</v>
      </c>
      <c r="F976">
        <v>26487.1</v>
      </c>
      <c r="I976" s="95">
        <f t="shared" si="31"/>
        <v>1.1415122380568299E-2</v>
      </c>
      <c r="J976" s="95">
        <f t="shared" si="30"/>
        <v>3.6803672564356127E-3</v>
      </c>
      <c r="K976" s="37"/>
    </row>
    <row r="977" spans="2:11" x14ac:dyDescent="0.2">
      <c r="B977" s="20" t="str">
        <f t="shared" si="32"/>
        <v>Wed</v>
      </c>
      <c r="C977" s="21">
        <v>44503</v>
      </c>
      <c r="D977">
        <v>334</v>
      </c>
      <c r="E977">
        <v>4660.57</v>
      </c>
      <c r="F977">
        <v>21500.1</v>
      </c>
      <c r="I977" s="95">
        <f t="shared" si="31"/>
        <v>2.6118940389319167E-3</v>
      </c>
      <c r="J977" s="95">
        <f t="shared" si="30"/>
        <v>6.4612959303769202E-3</v>
      </c>
      <c r="K977" s="37"/>
    </row>
    <row r="978" spans="2:11" x14ac:dyDescent="0.2">
      <c r="B978" s="20" t="str">
        <f t="shared" si="32"/>
        <v>Thu</v>
      </c>
      <c r="C978" s="21">
        <v>44504</v>
      </c>
      <c r="D978">
        <v>336.43990000000002</v>
      </c>
      <c r="E978">
        <v>4680.0600000000004</v>
      </c>
      <c r="F978">
        <v>23992.2</v>
      </c>
      <c r="I978" s="95">
        <f t="shared" si="31"/>
        <v>7.3050898203592673E-3</v>
      </c>
      <c r="J978" s="95">
        <f t="shared" si="30"/>
        <v>4.1818919145084621E-3</v>
      </c>
      <c r="K978" s="37"/>
    </row>
    <row r="979" spans="2:11" x14ac:dyDescent="0.2">
      <c r="B979" s="20" t="str">
        <f>TEXT(C979,"ddd")</f>
        <v>Fri</v>
      </c>
      <c r="C979" s="21">
        <v>44505</v>
      </c>
      <c r="D979">
        <v>336.06009999999998</v>
      </c>
      <c r="E979">
        <v>4697.53</v>
      </c>
      <c r="F979">
        <v>22570.1</v>
      </c>
      <c r="I979" s="95">
        <f t="shared" si="31"/>
        <v>-1.1288791846628676E-3</v>
      </c>
      <c r="J979" s="95">
        <f t="shared" si="30"/>
        <v>3.7328581257503046E-3</v>
      </c>
      <c r="K979" s="37"/>
    </row>
    <row r="980" spans="2:11" x14ac:dyDescent="0.2">
      <c r="C980" s="21">
        <v>44508</v>
      </c>
      <c r="D980">
        <v>336.99</v>
      </c>
      <c r="E980">
        <v>4701.7</v>
      </c>
      <c r="F980">
        <v>20897</v>
      </c>
      <c r="I980" s="95">
        <f t="shared" si="31"/>
        <v>2.7670645816031403E-3</v>
      </c>
      <c r="J980" s="95">
        <f t="shared" si="30"/>
        <v>8.8770055752696031E-4</v>
      </c>
      <c r="K980" s="37"/>
    </row>
    <row r="981" spans="2:11" x14ac:dyDescent="0.2">
      <c r="C981" s="21">
        <v>44509</v>
      </c>
      <c r="D981">
        <v>335.95</v>
      </c>
      <c r="E981">
        <v>4685.25</v>
      </c>
      <c r="F981">
        <v>21307.4</v>
      </c>
      <c r="I981" s="95">
        <f t="shared" si="31"/>
        <v>-3.0861449894655779E-3</v>
      </c>
      <c r="J981" s="95">
        <f t="shared" si="30"/>
        <v>-3.4987345002870374E-3</v>
      </c>
      <c r="K981" s="37"/>
    </row>
    <row r="982" spans="2:11" x14ac:dyDescent="0.2">
      <c r="C982" s="21">
        <v>44510</v>
      </c>
      <c r="D982">
        <v>330.8</v>
      </c>
      <c r="E982">
        <v>4646.71</v>
      </c>
      <c r="F982">
        <v>25500.9</v>
      </c>
      <c r="I982" s="95">
        <f t="shared" si="31"/>
        <v>-1.532966215210585E-2</v>
      </c>
      <c r="J982" s="95">
        <f t="shared" si="30"/>
        <v>-8.2258150578944367E-3</v>
      </c>
      <c r="K982" s="37"/>
    </row>
    <row r="983" spans="2:11" x14ac:dyDescent="0.2">
      <c r="B983" t="s">
        <v>489</v>
      </c>
      <c r="C983" s="21">
        <v>44511</v>
      </c>
      <c r="D983">
        <v>332.42989999999998</v>
      </c>
      <c r="E983">
        <v>4649.2700000000004</v>
      </c>
      <c r="F983">
        <v>16849.8</v>
      </c>
      <c r="I983" s="95">
        <f t="shared" si="31"/>
        <v>4.9271463119708869E-3</v>
      </c>
      <c r="J983" s="95">
        <f t="shared" si="30"/>
        <v>5.5092743037565839E-4</v>
      </c>
      <c r="K983" s="37"/>
    </row>
    <row r="984" spans="2:11" x14ac:dyDescent="0.2">
      <c r="C984" s="21">
        <v>44512</v>
      </c>
      <c r="D984">
        <v>336.72</v>
      </c>
      <c r="E984">
        <v>4682.8500000000004</v>
      </c>
      <c r="F984">
        <v>23831.1</v>
      </c>
      <c r="I984" s="95">
        <f t="shared" si="31"/>
        <v>1.2905277172721386E-2</v>
      </c>
      <c r="J984" s="95">
        <f t="shared" si="30"/>
        <v>7.2226392530441164E-3</v>
      </c>
      <c r="K984" s="37"/>
    </row>
    <row r="985" spans="2:11" x14ac:dyDescent="0.2">
      <c r="C985" s="21">
        <v>44515</v>
      </c>
      <c r="D985">
        <v>336.07010000000002</v>
      </c>
      <c r="E985">
        <v>4682.8</v>
      </c>
      <c r="F985">
        <v>16723</v>
      </c>
      <c r="I985" s="95">
        <f t="shared" si="31"/>
        <v>-1.9300902827275035E-3</v>
      </c>
      <c r="J985" s="95">
        <f t="shared" si="30"/>
        <v>-1.0677258507119092E-5</v>
      </c>
      <c r="K985" s="37"/>
    </row>
    <row r="986" spans="2:11" x14ac:dyDescent="0.2">
      <c r="C986" s="21">
        <v>44516</v>
      </c>
      <c r="D986">
        <v>339.51</v>
      </c>
      <c r="E986">
        <v>4700.8999999999996</v>
      </c>
      <c r="F986">
        <v>20886.8</v>
      </c>
      <c r="I986" s="95">
        <f t="shared" si="31"/>
        <v>1.0235662143106339E-2</v>
      </c>
      <c r="J986" s="95">
        <f t="shared" si="30"/>
        <v>3.8652088494062209E-3</v>
      </c>
      <c r="K986" s="37"/>
    </row>
    <row r="987" spans="2:11" x14ac:dyDescent="0.2">
      <c r="C987" s="21">
        <v>44517</v>
      </c>
      <c r="D987">
        <v>339.12009999999998</v>
      </c>
      <c r="E987">
        <v>4688.67</v>
      </c>
      <c r="F987">
        <v>19053.400000000001</v>
      </c>
      <c r="I987" s="95">
        <f t="shared" si="31"/>
        <v>-1.1484197814497499E-3</v>
      </c>
      <c r="J987" s="95">
        <f t="shared" si="30"/>
        <v>-2.6016294752068125E-3</v>
      </c>
      <c r="K987" s="37"/>
    </row>
    <row r="988" spans="2:11" x14ac:dyDescent="0.2">
      <c r="C988" s="21">
        <v>44518</v>
      </c>
      <c r="D988">
        <v>341.27</v>
      </c>
      <c r="E988">
        <v>4704.54</v>
      </c>
      <c r="F988">
        <v>22463.5</v>
      </c>
      <c r="I988" s="95">
        <f t="shared" si="31"/>
        <v>6.3396419144721161E-3</v>
      </c>
      <c r="J988" s="95">
        <f t="shared" si="30"/>
        <v>3.3847551651107199E-3</v>
      </c>
      <c r="K988" s="37"/>
    </row>
    <row r="989" spans="2:11" x14ac:dyDescent="0.2">
      <c r="C989" s="21">
        <v>44519</v>
      </c>
      <c r="D989">
        <v>343.11009999999999</v>
      </c>
      <c r="E989">
        <v>4697.96</v>
      </c>
      <c r="F989">
        <v>21963.4</v>
      </c>
      <c r="I989" s="95">
        <f t="shared" si="31"/>
        <v>5.3919184223636396E-3</v>
      </c>
      <c r="J989" s="95">
        <f t="shared" si="30"/>
        <v>-1.3986489646171663E-3</v>
      </c>
      <c r="K989" s="37"/>
    </row>
    <row r="990" spans="2:11" x14ac:dyDescent="0.2">
      <c r="C990" s="21">
        <v>44522</v>
      </c>
      <c r="D990">
        <v>339.83010000000002</v>
      </c>
      <c r="E990">
        <v>4682.9399999999996</v>
      </c>
      <c r="F990">
        <v>31031.1</v>
      </c>
      <c r="I990" s="95">
        <f t="shared" si="31"/>
        <v>-9.5596136633692153E-3</v>
      </c>
      <c r="J990" s="95">
        <f t="shared" si="30"/>
        <v>-3.1971323723489764E-3</v>
      </c>
      <c r="K990" s="37"/>
    </row>
    <row r="991" spans="2:11" x14ac:dyDescent="0.2">
      <c r="C991" s="21">
        <v>44523</v>
      </c>
      <c r="D991">
        <v>337.67989999999998</v>
      </c>
      <c r="E991">
        <v>4690.7</v>
      </c>
      <c r="F991">
        <v>30427.599999999999</v>
      </c>
      <c r="I991" s="95">
        <f t="shared" si="31"/>
        <v>-6.3272794258073528E-3</v>
      </c>
      <c r="J991" s="95">
        <f t="shared" si="30"/>
        <v>1.6570786727996278E-3</v>
      </c>
      <c r="K991" s="37"/>
    </row>
    <row r="992" spans="2:11" x14ac:dyDescent="0.2">
      <c r="C992" s="21">
        <v>44524</v>
      </c>
      <c r="D992">
        <v>337.90989999999999</v>
      </c>
      <c r="E992">
        <v>4701.46</v>
      </c>
      <c r="F992">
        <v>21661.3</v>
      </c>
      <c r="I992" s="95">
        <f t="shared" si="31"/>
        <v>6.8111842013696133E-4</v>
      </c>
      <c r="J992" s="95">
        <f t="shared" si="30"/>
        <v>2.2939006971240961E-3</v>
      </c>
      <c r="K992" s="37"/>
    </row>
    <row r="993" spans="3:11" x14ac:dyDescent="0.2">
      <c r="C993" s="21">
        <v>44525</v>
      </c>
      <c r="D993">
        <v>337.90989999999999</v>
      </c>
      <c r="E993">
        <v>4701.46</v>
      </c>
      <c r="F993" t="e">
        <v>#N/A</v>
      </c>
      <c r="I993" s="95">
        <f t="shared" si="31"/>
        <v>0</v>
      </c>
      <c r="J993" s="95">
        <f t="shared" si="30"/>
        <v>0</v>
      </c>
      <c r="K993" s="37"/>
    </row>
    <row r="994" spans="3:11" x14ac:dyDescent="0.2">
      <c r="C994" s="21">
        <v>44526</v>
      </c>
      <c r="D994">
        <v>329.67989999999998</v>
      </c>
      <c r="E994">
        <v>4594.62</v>
      </c>
      <c r="F994">
        <v>24217.200000000001</v>
      </c>
      <c r="I994" s="95">
        <f t="shared" si="31"/>
        <v>-2.4355604852062673E-2</v>
      </c>
      <c r="J994" s="95">
        <f t="shared" si="30"/>
        <v>-2.2724855683128209E-2</v>
      </c>
      <c r="K994" s="37"/>
    </row>
    <row r="995" spans="3:11" x14ac:dyDescent="0.2">
      <c r="C995" s="21">
        <v>44529</v>
      </c>
      <c r="D995">
        <v>336.62990000000002</v>
      </c>
      <c r="E995">
        <v>4655.2700000000004</v>
      </c>
      <c r="F995">
        <v>28563.5</v>
      </c>
      <c r="I995" s="95">
        <f t="shared" si="31"/>
        <v>2.1081054683649292E-2</v>
      </c>
      <c r="J995" s="95">
        <f t="shared" si="30"/>
        <v>1.3200221128189193E-2</v>
      </c>
      <c r="K995" s="37"/>
    </row>
    <row r="996" spans="3:11" x14ac:dyDescent="0.2">
      <c r="C996" s="21">
        <v>44530</v>
      </c>
      <c r="D996">
        <v>330.59010000000001</v>
      </c>
      <c r="E996">
        <v>4567</v>
      </c>
      <c r="F996">
        <v>42885.599999999999</v>
      </c>
      <c r="I996" s="95">
        <f t="shared" si="31"/>
        <v>-1.7941959404081498E-2</v>
      </c>
      <c r="J996" s="95">
        <f t="shared" si="30"/>
        <v>-1.8961306218543861E-2</v>
      </c>
      <c r="K996" s="37"/>
    </row>
    <row r="997" spans="3:11" x14ac:dyDescent="0.2">
      <c r="C997" s="21">
        <v>44531</v>
      </c>
      <c r="D997">
        <v>330.08010000000002</v>
      </c>
      <c r="E997">
        <v>4513.04</v>
      </c>
      <c r="F997">
        <v>33401.1</v>
      </c>
      <c r="I997" s="95">
        <f t="shared" si="31"/>
        <v>-1.5426959246510608E-3</v>
      </c>
      <c r="J997" s="95">
        <f t="shared" si="30"/>
        <v>-1.1815195971097037E-2</v>
      </c>
      <c r="K997" s="37"/>
    </row>
    <row r="998" spans="3:11" x14ac:dyDescent="0.2">
      <c r="C998" s="21">
        <v>44532</v>
      </c>
      <c r="D998">
        <v>329.49</v>
      </c>
      <c r="E998">
        <v>4577.1000000000004</v>
      </c>
      <c r="F998">
        <v>30766</v>
      </c>
      <c r="I998" s="95">
        <f t="shared" si="31"/>
        <v>-1.7877478830138349E-3</v>
      </c>
      <c r="J998" s="95">
        <f t="shared" si="30"/>
        <v>1.4194423271231882E-2</v>
      </c>
      <c r="K998" s="37"/>
    </row>
    <row r="999" spans="3:11" x14ac:dyDescent="0.2">
      <c r="C999" s="21">
        <v>44533</v>
      </c>
      <c r="D999">
        <v>323.01</v>
      </c>
      <c r="E999">
        <v>4538.43</v>
      </c>
      <c r="F999">
        <v>41779.300000000003</v>
      </c>
      <c r="I999" s="95">
        <f t="shared" si="31"/>
        <v>-1.9666757716470973E-2</v>
      </c>
      <c r="J999" s="95">
        <f t="shared" si="30"/>
        <v>-8.4485809792226307E-3</v>
      </c>
      <c r="K999" s="37"/>
    </row>
    <row r="1000" spans="3:11" x14ac:dyDescent="0.2">
      <c r="C1000" s="21">
        <v>44536</v>
      </c>
      <c r="D1000">
        <v>326.18990000000002</v>
      </c>
      <c r="E1000">
        <v>4591.67</v>
      </c>
      <c r="F1000">
        <v>30032.6</v>
      </c>
      <c r="I1000" s="95">
        <f t="shared" si="31"/>
        <v>9.8445868548961979E-3</v>
      </c>
      <c r="J1000" s="95">
        <f t="shared" si="30"/>
        <v>1.1730928977641941E-2</v>
      </c>
      <c r="K1000" s="37"/>
    </row>
    <row r="1001" spans="3:11" x14ac:dyDescent="0.2">
      <c r="C1001" s="21">
        <v>44537</v>
      </c>
      <c r="D1001">
        <v>334.91989999999998</v>
      </c>
      <c r="E1001">
        <v>4686.75</v>
      </c>
      <c r="F1001">
        <v>31021.9</v>
      </c>
      <c r="I1001" s="95">
        <f t="shared" si="31"/>
        <v>2.6763550925396506E-2</v>
      </c>
      <c r="J1001" s="95">
        <f t="shared" si="30"/>
        <v>2.0707063007576743E-2</v>
      </c>
      <c r="K1001" s="37"/>
    </row>
    <row r="1002" spans="3:11" x14ac:dyDescent="0.2">
      <c r="C1002" s="21">
        <v>44538</v>
      </c>
      <c r="D1002">
        <v>334.97</v>
      </c>
      <c r="E1002">
        <v>4701.21</v>
      </c>
      <c r="F1002">
        <v>24761</v>
      </c>
      <c r="I1002" s="95">
        <f t="shared" si="31"/>
        <v>1.4958800596809319E-4</v>
      </c>
      <c r="J1002" s="95">
        <f t="shared" si="30"/>
        <v>3.0852936469836223E-3</v>
      </c>
      <c r="K1002" s="37"/>
    </row>
    <row r="1003" spans="3:11" x14ac:dyDescent="0.2">
      <c r="C1003" s="21">
        <v>44539</v>
      </c>
      <c r="D1003">
        <v>333.1001</v>
      </c>
      <c r="E1003">
        <v>4667.45</v>
      </c>
      <c r="F1003">
        <v>22214.2</v>
      </c>
      <c r="I1003" s="95">
        <f t="shared" si="31"/>
        <v>-5.5822909514285923E-3</v>
      </c>
      <c r="J1003" s="95">
        <f t="shared" si="30"/>
        <v>-7.1811299644134463E-3</v>
      </c>
      <c r="K1003" s="37"/>
    </row>
    <row r="1004" spans="3:11" x14ac:dyDescent="0.2">
      <c r="C1004" s="21">
        <v>44540</v>
      </c>
      <c r="D1004">
        <v>342.54</v>
      </c>
      <c r="E1004">
        <v>4712.0200000000004</v>
      </c>
      <c r="F1004">
        <v>38095.699999999997</v>
      </c>
      <c r="I1004" s="95">
        <f t="shared" si="31"/>
        <v>2.8339529168559308E-2</v>
      </c>
      <c r="J1004" s="95">
        <f t="shared" si="30"/>
        <v>9.54911139915815E-3</v>
      </c>
      <c r="K1004" s="37"/>
    </row>
    <row r="1005" spans="3:11" x14ac:dyDescent="0.2">
      <c r="C1005" s="21">
        <v>44543</v>
      </c>
      <c r="D1005">
        <v>339.3999</v>
      </c>
      <c r="E1005">
        <v>4668.97</v>
      </c>
      <c r="F1005">
        <v>28899.4</v>
      </c>
      <c r="I1005" s="95">
        <f t="shared" si="31"/>
        <v>-9.1671045717288679E-3</v>
      </c>
      <c r="J1005" s="95">
        <f t="shared" si="30"/>
        <v>-9.1362090992822553E-3</v>
      </c>
      <c r="K1005" s="37"/>
    </row>
    <row r="1006" spans="3:11" x14ac:dyDescent="0.2">
      <c r="C1006" s="21">
        <v>44544</v>
      </c>
      <c r="D1006">
        <v>328.34010000000001</v>
      </c>
      <c r="E1006">
        <v>4634.09</v>
      </c>
      <c r="F1006">
        <v>44438.7</v>
      </c>
      <c r="I1006" s="95">
        <f t="shared" si="31"/>
        <v>-3.2586338416717209E-2</v>
      </c>
      <c r="J1006" s="95">
        <f t="shared" si="30"/>
        <v>-7.4705984403412584E-3</v>
      </c>
      <c r="K1006" s="37"/>
    </row>
    <row r="1007" spans="3:11" x14ac:dyDescent="0.2">
      <c r="C1007" s="21">
        <v>44545</v>
      </c>
      <c r="D1007">
        <v>334.6499</v>
      </c>
      <c r="E1007">
        <v>4709.8500000000004</v>
      </c>
      <c r="F1007">
        <v>35381.1</v>
      </c>
      <c r="I1007" s="95">
        <f t="shared" si="31"/>
        <v>1.9217268923290121E-2</v>
      </c>
      <c r="J1007" s="95">
        <f t="shared" si="30"/>
        <v>1.6348409288555077E-2</v>
      </c>
      <c r="K1007" s="37"/>
    </row>
    <row r="1008" spans="3:11" x14ac:dyDescent="0.2">
      <c r="C1008" s="21">
        <v>44546</v>
      </c>
      <c r="D1008">
        <v>324.8999</v>
      </c>
      <c r="E1008">
        <v>4668.67</v>
      </c>
      <c r="F1008">
        <v>35034.800000000003</v>
      </c>
      <c r="I1008" s="95">
        <f t="shared" si="31"/>
        <v>-2.9134925783632415E-2</v>
      </c>
      <c r="J1008" s="95">
        <f t="shared" si="30"/>
        <v>-8.7433782392221104E-3</v>
      </c>
      <c r="K1008" s="37"/>
    </row>
    <row r="1009" spans="3:11" x14ac:dyDescent="0.2">
      <c r="C1009" s="21">
        <v>44547</v>
      </c>
      <c r="D1009">
        <v>323.8</v>
      </c>
      <c r="E1009">
        <v>4620.6400000000003</v>
      </c>
      <c r="F1009">
        <v>47983.7</v>
      </c>
      <c r="I1009" s="95">
        <f t="shared" si="31"/>
        <v>-3.3853503802248053E-3</v>
      </c>
      <c r="J1009" s="95">
        <f t="shared" si="30"/>
        <v>-1.0287726483131143E-2</v>
      </c>
      <c r="K1009" s="37"/>
    </row>
    <row r="1010" spans="3:11" x14ac:dyDescent="0.2">
      <c r="C1010" s="21">
        <v>44550</v>
      </c>
      <c r="D1010">
        <v>319.90989999999999</v>
      </c>
      <c r="E1010">
        <v>4568.0200000000004</v>
      </c>
      <c r="F1010">
        <v>28326.5</v>
      </c>
      <c r="I1010" s="95">
        <f t="shared" si="31"/>
        <v>-1.2013897467572643E-2</v>
      </c>
      <c r="J1010" s="95">
        <f t="shared" si="30"/>
        <v>-1.1388032826621375E-2</v>
      </c>
      <c r="K1010" s="37"/>
    </row>
    <row r="1011" spans="3:11" x14ac:dyDescent="0.2">
      <c r="C1011" s="21">
        <v>44551</v>
      </c>
      <c r="D1011">
        <v>327.29000000000002</v>
      </c>
      <c r="E1011">
        <v>4649.2299999999996</v>
      </c>
      <c r="F1011">
        <v>24740.6</v>
      </c>
      <c r="I1011" s="95">
        <f t="shared" si="31"/>
        <v>2.3069307952020335E-2</v>
      </c>
      <c r="J1011" s="95">
        <f t="shared" si="30"/>
        <v>1.7777943178882483E-2</v>
      </c>
      <c r="K1011" s="37"/>
    </row>
    <row r="1012" spans="3:11" x14ac:dyDescent="0.2">
      <c r="C1012" s="21">
        <v>44552</v>
      </c>
      <c r="D1012">
        <v>333.2</v>
      </c>
      <c r="E1012">
        <v>4696.5600000000004</v>
      </c>
      <c r="F1012">
        <v>24831.5</v>
      </c>
      <c r="I1012" s="95">
        <f t="shared" si="31"/>
        <v>1.8057380304928206E-2</v>
      </c>
      <c r="J1012" s="95">
        <f t="shared" si="30"/>
        <v>1.0180180373954517E-2</v>
      </c>
      <c r="K1012" s="37"/>
    </row>
    <row r="1013" spans="3:11" x14ac:dyDescent="0.2">
      <c r="C1013" s="21">
        <v>44553</v>
      </c>
      <c r="D1013">
        <v>334.68990000000002</v>
      </c>
      <c r="E1013">
        <v>4725.79</v>
      </c>
      <c r="F1013">
        <v>19617.8</v>
      </c>
      <c r="I1013" s="95">
        <f t="shared" si="31"/>
        <v>4.4714885954382222E-3</v>
      </c>
      <c r="J1013" s="95">
        <f t="shared" si="30"/>
        <v>6.2237041579367158E-3</v>
      </c>
      <c r="K1013" s="37"/>
    </row>
    <row r="1014" spans="3:11" x14ac:dyDescent="0.2">
      <c r="C1014" s="21">
        <v>44554</v>
      </c>
      <c r="D1014">
        <v>334.68990000000002</v>
      </c>
      <c r="E1014">
        <v>4725.79</v>
      </c>
      <c r="F1014" t="e">
        <v>#N/A</v>
      </c>
      <c r="I1014" s="95">
        <f t="shared" si="31"/>
        <v>0</v>
      </c>
      <c r="J1014" s="95">
        <f t="shared" si="30"/>
        <v>0</v>
      </c>
      <c r="K1014" s="37"/>
    </row>
    <row r="1015" spans="3:11" x14ac:dyDescent="0.2">
      <c r="C1015" s="21">
        <v>44557</v>
      </c>
      <c r="D1015">
        <v>342.45</v>
      </c>
      <c r="E1015">
        <v>4791.1899999999996</v>
      </c>
      <c r="F1015">
        <v>19947</v>
      </c>
      <c r="I1015" s="95">
        <f t="shared" si="31"/>
        <v>2.3185940179252462E-2</v>
      </c>
      <c r="J1015" s="95">
        <f t="shared" si="30"/>
        <v>1.383895602639984E-2</v>
      </c>
      <c r="K1015" s="37"/>
    </row>
    <row r="1016" spans="3:11" x14ac:dyDescent="0.2">
      <c r="C1016" s="21">
        <v>44558</v>
      </c>
      <c r="D1016">
        <v>341.25</v>
      </c>
      <c r="E1016">
        <v>4786.3500000000004</v>
      </c>
      <c r="F1016">
        <v>15661.5</v>
      </c>
      <c r="I1016" s="95">
        <f t="shared" si="31"/>
        <v>-3.504161191414723E-3</v>
      </c>
      <c r="J1016" s="95">
        <f t="shared" si="30"/>
        <v>-1.0101874482121298E-3</v>
      </c>
      <c r="K1016" s="37"/>
    </row>
    <row r="1017" spans="3:11" x14ac:dyDescent="0.2">
      <c r="C1017" s="21">
        <v>44559</v>
      </c>
      <c r="D1017">
        <v>341.95</v>
      </c>
      <c r="E1017">
        <v>4793.0600000000004</v>
      </c>
      <c r="F1017">
        <v>15042</v>
      </c>
      <c r="I1017" s="95">
        <f t="shared" si="31"/>
        <v>2.0512820512819108E-3</v>
      </c>
      <c r="J1017" s="95">
        <f t="shared" si="30"/>
        <v>1.4019033292591576E-3</v>
      </c>
      <c r="K1017" s="37"/>
    </row>
    <row r="1018" spans="3:11" x14ac:dyDescent="0.2">
      <c r="C1018" s="21">
        <v>44560</v>
      </c>
      <c r="D1018">
        <v>339.32010000000002</v>
      </c>
      <c r="E1018">
        <v>4778.7299999999996</v>
      </c>
      <c r="F1018">
        <v>15994.5</v>
      </c>
      <c r="I1018" s="95">
        <f t="shared" si="31"/>
        <v>-7.6908904810644163E-3</v>
      </c>
      <c r="J1018" s="95">
        <f t="shared" si="30"/>
        <v>-2.9897393314501919E-3</v>
      </c>
      <c r="K1018" s="37"/>
    </row>
    <row r="1019" spans="3:11" x14ac:dyDescent="0.2">
      <c r="C1019" s="21">
        <v>44561</v>
      </c>
      <c r="D1019">
        <v>336.32010000000002</v>
      </c>
      <c r="E1019">
        <v>4766.18</v>
      </c>
      <c r="F1019">
        <v>18000.8</v>
      </c>
      <c r="I1019" s="95">
        <f t="shared" si="31"/>
        <v>-8.8412092298687517E-3</v>
      </c>
      <c r="J1019" s="95">
        <f t="shared" si="30"/>
        <v>-2.6262207741385435E-3</v>
      </c>
      <c r="K1019" s="37"/>
    </row>
    <row r="1020" spans="3:11" x14ac:dyDescent="0.2">
      <c r="C1020" s="21">
        <v>44564</v>
      </c>
      <c r="D1020">
        <v>334.75</v>
      </c>
      <c r="E1020">
        <v>4796.5600000000004</v>
      </c>
      <c r="F1020">
        <v>28918</v>
      </c>
      <c r="I1020" s="95">
        <f t="shared" si="31"/>
        <v>-4.6684691161783531E-3</v>
      </c>
      <c r="J1020" s="95">
        <f t="shared" si="30"/>
        <v>6.3740773533522699E-3</v>
      </c>
      <c r="K1020" s="37"/>
    </row>
    <row r="1021" spans="3:11" x14ac:dyDescent="0.2">
      <c r="C1021" s="21">
        <v>44565</v>
      </c>
      <c r="D1021">
        <v>329.01</v>
      </c>
      <c r="E1021">
        <v>4793.54</v>
      </c>
      <c r="F1021">
        <v>32674.3</v>
      </c>
      <c r="I1021" s="95">
        <f t="shared" si="31"/>
        <v>-1.7147124719940288E-2</v>
      </c>
      <c r="J1021" s="95">
        <f t="shared" si="30"/>
        <v>-6.29617892823231E-4</v>
      </c>
      <c r="K1021" s="37"/>
    </row>
    <row r="1022" spans="3:11" x14ac:dyDescent="0.2">
      <c r="C1022" s="21">
        <v>44566</v>
      </c>
      <c r="D1022">
        <v>316.37990000000002</v>
      </c>
      <c r="E1022">
        <v>4700.58</v>
      </c>
      <c r="F1022">
        <v>40054.300000000003</v>
      </c>
      <c r="I1022" s="95">
        <f t="shared" si="31"/>
        <v>-3.8388194887693294E-2</v>
      </c>
      <c r="J1022" s="95">
        <f t="shared" si="30"/>
        <v>-1.939276609770646E-2</v>
      </c>
      <c r="K1022" s="37"/>
    </row>
    <row r="1023" spans="3:11" x14ac:dyDescent="0.2">
      <c r="C1023" s="21">
        <v>44567</v>
      </c>
      <c r="D1023">
        <v>313.87990000000002</v>
      </c>
      <c r="E1023">
        <v>4696.05</v>
      </c>
      <c r="F1023">
        <v>39646.1</v>
      </c>
      <c r="I1023" s="95">
        <f t="shared" si="31"/>
        <v>-7.9018926297150793E-3</v>
      </c>
      <c r="J1023" s="95">
        <f t="shared" si="30"/>
        <v>-9.6371086121282978E-4</v>
      </c>
      <c r="K1023" s="37"/>
    </row>
    <row r="1024" spans="3:11" x14ac:dyDescent="0.2">
      <c r="C1024" s="21">
        <v>44568</v>
      </c>
      <c r="D1024">
        <v>314.04000000000002</v>
      </c>
      <c r="E1024">
        <v>4677.03</v>
      </c>
      <c r="F1024">
        <v>32720</v>
      </c>
      <c r="I1024" s="95">
        <f t="shared" si="31"/>
        <v>5.1006770423978054E-4</v>
      </c>
      <c r="J1024" s="95">
        <f t="shared" si="30"/>
        <v>-4.0502124125595396E-3</v>
      </c>
      <c r="K1024" s="37"/>
    </row>
    <row r="1025" spans="3:11" x14ac:dyDescent="0.2">
      <c r="C1025" s="21">
        <v>44571</v>
      </c>
      <c r="D1025">
        <v>314.27</v>
      </c>
      <c r="E1025">
        <v>4670.29</v>
      </c>
      <c r="F1025">
        <v>44289.5</v>
      </c>
      <c r="I1025" s="95">
        <f t="shared" si="31"/>
        <v>7.3239077824460708E-4</v>
      </c>
      <c r="J1025" s="95">
        <f t="shared" si="30"/>
        <v>-1.4410854751839564E-3</v>
      </c>
      <c r="K1025" s="37"/>
    </row>
    <row r="1026" spans="3:11" x14ac:dyDescent="0.2">
      <c r="C1026" s="21">
        <v>44572</v>
      </c>
      <c r="D1026">
        <v>314.98</v>
      </c>
      <c r="E1026">
        <v>4713.07</v>
      </c>
      <c r="F1026">
        <v>29386.799999999999</v>
      </c>
      <c r="I1026" s="95">
        <f t="shared" si="31"/>
        <v>2.2592038692845762E-3</v>
      </c>
      <c r="J1026" s="95">
        <f t="shared" si="30"/>
        <v>9.1600307475552256E-3</v>
      </c>
      <c r="K1026" s="37"/>
    </row>
    <row r="1027" spans="3:11" x14ac:dyDescent="0.2">
      <c r="C1027" s="21">
        <v>44573</v>
      </c>
      <c r="D1027">
        <v>318.27</v>
      </c>
      <c r="E1027">
        <v>4726.3500000000004</v>
      </c>
      <c r="F1027">
        <v>34372.199999999997</v>
      </c>
      <c r="I1027" s="95">
        <f t="shared" si="31"/>
        <v>1.0445107625880912E-2</v>
      </c>
      <c r="J1027" s="95">
        <f t="shared" si="30"/>
        <v>2.8176963210817529E-3</v>
      </c>
      <c r="K1027" s="37"/>
    </row>
    <row r="1028" spans="3:11" x14ac:dyDescent="0.2">
      <c r="C1028" s="21">
        <v>44574</v>
      </c>
      <c r="D1028">
        <v>304.8</v>
      </c>
      <c r="E1028">
        <v>4659.03</v>
      </c>
      <c r="F1028">
        <v>45366</v>
      </c>
      <c r="I1028" s="95">
        <f t="shared" si="31"/>
        <v>-4.2322556320105509E-2</v>
      </c>
      <c r="J1028" s="95">
        <f t="shared" si="30"/>
        <v>-1.4243549462058636E-2</v>
      </c>
      <c r="K1028" s="37"/>
    </row>
    <row r="1029" spans="3:11" x14ac:dyDescent="0.2">
      <c r="C1029" s="21">
        <v>44575</v>
      </c>
      <c r="D1029">
        <v>310.2</v>
      </c>
      <c r="E1029">
        <v>4662.8500000000004</v>
      </c>
      <c r="F1029">
        <v>39846.400000000001</v>
      </c>
      <c r="I1029" s="95">
        <f t="shared" si="31"/>
        <v>1.7716535433070835E-2</v>
      </c>
      <c r="J1029" s="95">
        <f t="shared" ref="J1029:J1047" si="33">E1029/E1028-1</f>
        <v>8.1991315788920716E-4</v>
      </c>
      <c r="K1029" s="37"/>
    </row>
    <row r="1030" spans="3:11" x14ac:dyDescent="0.2">
      <c r="C1030" s="21">
        <v>44578</v>
      </c>
      <c r="D1030">
        <v>310.2</v>
      </c>
      <c r="E1030">
        <v>4662.8500000000004</v>
      </c>
      <c r="F1030" t="e">
        <v>#N/A</v>
      </c>
      <c r="I1030" s="95">
        <f t="shared" ref="I1030:I1047" si="34">D1030/D1029-1</f>
        <v>0</v>
      </c>
      <c r="J1030" s="95">
        <f t="shared" si="33"/>
        <v>0</v>
      </c>
      <c r="K1030" s="37"/>
    </row>
    <row r="1031" spans="3:11" x14ac:dyDescent="0.2">
      <c r="C1031" s="21">
        <v>44579</v>
      </c>
      <c r="D1031">
        <v>302.6499</v>
      </c>
      <c r="E1031">
        <v>4577.1099999999997</v>
      </c>
      <c r="F1031">
        <v>42434.1</v>
      </c>
      <c r="I1031" s="95">
        <f t="shared" si="34"/>
        <v>-2.4339458413926485E-2</v>
      </c>
      <c r="J1031" s="95">
        <f t="shared" si="33"/>
        <v>-1.8387895814791499E-2</v>
      </c>
      <c r="K1031" s="37"/>
    </row>
    <row r="1032" spans="3:11" x14ac:dyDescent="0.2">
      <c r="C1032" s="21">
        <v>44580</v>
      </c>
      <c r="D1032">
        <v>303.33010000000002</v>
      </c>
      <c r="E1032">
        <v>4532.76</v>
      </c>
      <c r="F1032">
        <v>45933.9</v>
      </c>
      <c r="I1032" s="95">
        <f t="shared" si="34"/>
        <v>2.2474813307389319E-3</v>
      </c>
      <c r="J1032" s="95">
        <f t="shared" si="33"/>
        <v>-9.6895202431227512E-3</v>
      </c>
      <c r="K1032" s="37"/>
    </row>
    <row r="1033" spans="3:11" x14ac:dyDescent="0.2">
      <c r="C1033" s="21">
        <v>44581</v>
      </c>
      <c r="D1033">
        <v>301.6001</v>
      </c>
      <c r="E1033">
        <v>4482.7299999999996</v>
      </c>
      <c r="F1033">
        <v>35380.699999999997</v>
      </c>
      <c r="I1033" s="95">
        <f t="shared" si="34"/>
        <v>-5.7033574973271994E-3</v>
      </c>
      <c r="J1033" s="95">
        <f t="shared" si="33"/>
        <v>-1.103742532143781E-2</v>
      </c>
      <c r="K1033" s="37"/>
    </row>
    <row r="1034" spans="3:11" x14ac:dyDescent="0.2">
      <c r="C1034" s="21">
        <v>44582</v>
      </c>
      <c r="D1034">
        <v>296.02999999999997</v>
      </c>
      <c r="E1034">
        <v>4397.9399999999996</v>
      </c>
      <c r="F1034">
        <v>57984.4</v>
      </c>
      <c r="I1034" s="95">
        <f t="shared" si="34"/>
        <v>-1.8468495202753621E-2</v>
      </c>
      <c r="J1034" s="95">
        <f t="shared" si="33"/>
        <v>-1.8914813071498782E-2</v>
      </c>
      <c r="K1034" s="37"/>
    </row>
    <row r="1035" spans="3:11" x14ac:dyDescent="0.2">
      <c r="C1035" s="21">
        <v>44585</v>
      </c>
      <c r="D1035">
        <v>296.37009999999998</v>
      </c>
      <c r="E1035">
        <v>4410.13</v>
      </c>
      <c r="F1035">
        <v>86035.4</v>
      </c>
      <c r="I1035" s="95">
        <f t="shared" si="34"/>
        <v>1.1488700469546309E-3</v>
      </c>
      <c r="J1035" s="95">
        <f t="shared" si="33"/>
        <v>2.7717522294530283E-3</v>
      </c>
      <c r="K1035" s="37"/>
    </row>
    <row r="1036" spans="3:11" x14ac:dyDescent="0.2">
      <c r="C1036" s="21">
        <v>44586</v>
      </c>
      <c r="D1036">
        <v>288.49</v>
      </c>
      <c r="E1036">
        <v>4356.45</v>
      </c>
      <c r="F1036">
        <v>72848.600000000006</v>
      </c>
      <c r="I1036" s="95">
        <f t="shared" si="34"/>
        <v>-2.658871458355605E-2</v>
      </c>
      <c r="J1036" s="95">
        <f t="shared" si="33"/>
        <v>-1.2171976789799865E-2</v>
      </c>
      <c r="K1036" s="37"/>
    </row>
    <row r="1037" spans="3:11" x14ac:dyDescent="0.2">
      <c r="C1037" s="21">
        <v>44587</v>
      </c>
      <c r="D1037">
        <v>296.70999999999998</v>
      </c>
      <c r="E1037">
        <v>4349.93</v>
      </c>
      <c r="F1037">
        <v>90428.9</v>
      </c>
      <c r="I1037" s="95">
        <f t="shared" si="34"/>
        <v>2.8493188672050973E-2</v>
      </c>
      <c r="J1037" s="95">
        <f t="shared" si="33"/>
        <v>-1.4966314315554285E-3</v>
      </c>
      <c r="K1037" s="37"/>
    </row>
    <row r="1038" spans="3:11" x14ac:dyDescent="0.2">
      <c r="C1038" s="21">
        <v>44588</v>
      </c>
      <c r="D1038">
        <v>299.84010000000001</v>
      </c>
      <c r="E1038">
        <v>4326.51</v>
      </c>
      <c r="F1038">
        <v>53481.3</v>
      </c>
      <c r="I1038" s="95">
        <f t="shared" si="34"/>
        <v>1.0549357958949956E-2</v>
      </c>
      <c r="J1038" s="95">
        <f t="shared" si="33"/>
        <v>-5.3839946849719711E-3</v>
      </c>
      <c r="K1038" s="37"/>
    </row>
    <row r="1039" spans="3:11" x14ac:dyDescent="0.2">
      <c r="C1039" s="21">
        <v>44589</v>
      </c>
      <c r="D1039">
        <v>308.26</v>
      </c>
      <c r="E1039">
        <v>4431.8500000000004</v>
      </c>
      <c r="F1039">
        <v>49743.7</v>
      </c>
      <c r="I1039" s="95">
        <f t="shared" si="34"/>
        <v>2.8081300666588538E-2</v>
      </c>
      <c r="J1039" s="95">
        <f t="shared" si="33"/>
        <v>2.4347568825681787E-2</v>
      </c>
      <c r="K1039" s="37"/>
    </row>
    <row r="1040" spans="3:11" x14ac:dyDescent="0.2">
      <c r="C1040" s="21">
        <v>44592</v>
      </c>
      <c r="D1040">
        <v>310.98</v>
      </c>
      <c r="E1040">
        <v>4515.55</v>
      </c>
      <c r="F1040">
        <v>46444.5</v>
      </c>
      <c r="I1040" s="95">
        <f t="shared" si="34"/>
        <v>8.8237202361642897E-3</v>
      </c>
      <c r="J1040" s="95">
        <f t="shared" si="33"/>
        <v>1.8886018254227865E-2</v>
      </c>
      <c r="K1040" s="37"/>
    </row>
    <row r="1041" spans="3:11" x14ac:dyDescent="0.2">
      <c r="C1041" s="21">
        <v>44593</v>
      </c>
      <c r="D1041">
        <v>308.76</v>
      </c>
      <c r="E1041">
        <v>4546.54</v>
      </c>
      <c r="F1041">
        <v>40950.400000000001</v>
      </c>
      <c r="I1041" s="95">
        <f t="shared" si="34"/>
        <v>-7.1387227474436488E-3</v>
      </c>
      <c r="J1041" s="95">
        <f t="shared" si="33"/>
        <v>6.8629513569775646E-3</v>
      </c>
      <c r="K1041" s="37"/>
    </row>
    <row r="1042" spans="3:11" x14ac:dyDescent="0.2">
      <c r="C1042" s="21">
        <v>44594</v>
      </c>
      <c r="D1042">
        <v>313.45999999999998</v>
      </c>
      <c r="E1042">
        <v>4589.38</v>
      </c>
      <c r="F1042">
        <v>36636</v>
      </c>
      <c r="I1042" s="95">
        <f t="shared" si="34"/>
        <v>1.5222179038735462E-2</v>
      </c>
      <c r="J1042" s="95">
        <f t="shared" si="33"/>
        <v>9.4225498950850639E-3</v>
      </c>
      <c r="K1042" s="37"/>
    </row>
    <row r="1043" spans="3:11" x14ac:dyDescent="0.2">
      <c r="C1043" s="21">
        <v>44595</v>
      </c>
      <c r="D1043">
        <v>301.25</v>
      </c>
      <c r="E1043">
        <v>4477.4399999999996</v>
      </c>
      <c r="F1043">
        <v>43730</v>
      </c>
      <c r="I1043" s="95">
        <f t="shared" si="34"/>
        <v>-3.8952338416384791E-2</v>
      </c>
      <c r="J1043" s="95">
        <f t="shared" si="33"/>
        <v>-2.4391094221877574E-2</v>
      </c>
      <c r="K1043" s="37"/>
    </row>
    <row r="1044" spans="3:11" x14ac:dyDescent="0.2">
      <c r="C1044" s="21">
        <v>44596</v>
      </c>
      <c r="D1044">
        <v>305.93990000000002</v>
      </c>
      <c r="E1044">
        <v>4500.53</v>
      </c>
      <c r="F1044">
        <v>35096.5</v>
      </c>
      <c r="I1044" s="95">
        <f t="shared" si="34"/>
        <v>1.5568132780082955E-2</v>
      </c>
      <c r="J1044" s="95">
        <f t="shared" si="33"/>
        <v>5.156964694110977E-3</v>
      </c>
      <c r="K1044" s="37"/>
    </row>
    <row r="1045" spans="3:11" x14ac:dyDescent="0.2">
      <c r="C1045" s="21">
        <v>44599</v>
      </c>
      <c r="D1045">
        <v>300.95</v>
      </c>
      <c r="E1045">
        <v>4483.87</v>
      </c>
      <c r="F1045">
        <v>28533.3</v>
      </c>
      <c r="I1045" s="95">
        <f t="shared" si="34"/>
        <v>-1.6310066127366962E-2</v>
      </c>
      <c r="J1045" s="95">
        <f t="shared" si="33"/>
        <v>-3.701786234065696E-3</v>
      </c>
      <c r="K1045" s="37"/>
    </row>
    <row r="1046" spans="3:11" x14ac:dyDescent="0.2">
      <c r="C1046" s="21">
        <v>44600</v>
      </c>
      <c r="D1046">
        <v>304.56009999999998</v>
      </c>
      <c r="E1046">
        <v>4521.54</v>
      </c>
      <c r="F1046">
        <v>32421.200000000001</v>
      </c>
      <c r="I1046" s="95">
        <f t="shared" si="34"/>
        <v>1.1995680345572302E-2</v>
      </c>
      <c r="J1046" s="95">
        <f t="shared" si="33"/>
        <v>8.4012248347966612E-3</v>
      </c>
      <c r="K1046" s="37"/>
    </row>
    <row r="1047" spans="3:11" x14ac:dyDescent="0.2">
      <c r="C1047" s="21">
        <v>44601</v>
      </c>
      <c r="D1047">
        <v>311.20999999999998</v>
      </c>
      <c r="E1047">
        <v>4587.18</v>
      </c>
      <c r="F1047">
        <v>31284.7</v>
      </c>
      <c r="I1047" s="95">
        <f t="shared" si="34"/>
        <v>2.1834442528748887E-2</v>
      </c>
      <c r="J1047" s="95">
        <f t="shared" si="33"/>
        <v>1.4517177775713597E-2</v>
      </c>
      <c r="K1047" s="37"/>
    </row>
  </sheetData>
  <autoFilter ref="C3:F1047" xr:uid="{00000000-0001-0000-0200-000000000000}"/>
  <mergeCells count="2">
    <mergeCell ref="I2:J2"/>
    <mergeCell ref="L4:M4"/>
  </mergeCells>
  <dataValidations count="2">
    <dataValidation allowBlank="1" showErrorMessage="1" promptTitle="TRAFO" prompt="$C$4:$E$1047" sqref="C4" xr:uid="{00000000-0002-0000-0200-000000000000}"/>
    <dataValidation allowBlank="1" showErrorMessage="1" promptTitle="TRAFO" prompt="$F$4:$F$1047" sqref="F4" xr:uid="{00000000-0002-0000-0200-000001000000}"/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65"/>
  <sheetViews>
    <sheetView showGridLines="0" tabSelected="1" zoomScale="157" zoomScaleNormal="84" workbookViewId="0">
      <selection activeCell="J66" sqref="J66"/>
    </sheetView>
  </sheetViews>
  <sheetFormatPr baseColWidth="10" defaultColWidth="8.83203125" defaultRowHeight="15" x14ac:dyDescent="0.2"/>
  <cols>
    <col min="1" max="3" width="3.6640625" customWidth="1"/>
    <col min="5" max="5" width="22.5" customWidth="1"/>
    <col min="6" max="6" width="12.5" bestFit="1" customWidth="1"/>
    <col min="7" max="7" width="9" bestFit="1" customWidth="1"/>
    <col min="8" max="8" width="11.6640625" bestFit="1" customWidth="1"/>
    <col min="9" max="9" width="9.6640625" bestFit="1" customWidth="1"/>
    <col min="10" max="10" width="11" bestFit="1" customWidth="1"/>
    <col min="11" max="13" width="11.33203125" bestFit="1" customWidth="1"/>
    <col min="14" max="14" width="10.33203125" customWidth="1"/>
    <col min="15" max="16" width="11.33203125" bestFit="1" customWidth="1"/>
    <col min="17" max="17" width="16.5" bestFit="1" customWidth="1"/>
    <col min="18" max="18" width="15.6640625" bestFit="1" customWidth="1"/>
    <col min="19" max="19" width="10.5" bestFit="1" customWidth="1"/>
    <col min="20" max="20" width="16.5" bestFit="1" customWidth="1"/>
    <col min="21" max="21" width="15.6640625" bestFit="1" customWidth="1"/>
  </cols>
  <sheetData>
    <row r="1" spans="2:18" x14ac:dyDescent="0.2">
      <c r="B1" s="34"/>
      <c r="C1" s="34"/>
      <c r="E1" s="34" t="s">
        <v>478</v>
      </c>
    </row>
    <row r="2" spans="2:18" x14ac:dyDescent="0.2">
      <c r="D2">
        <v>1</v>
      </c>
      <c r="E2" s="20" t="s">
        <v>477</v>
      </c>
    </row>
    <row r="3" spans="2:18" x14ac:dyDescent="0.2">
      <c r="D3" s="40"/>
    </row>
    <row r="4" spans="2:18" x14ac:dyDescent="0.2">
      <c r="F4" s="20" t="s">
        <v>429</v>
      </c>
      <c r="G4" s="20" t="s">
        <v>430</v>
      </c>
      <c r="H4" s="20" t="s">
        <v>431</v>
      </c>
      <c r="I4" s="20" t="s">
        <v>432</v>
      </c>
    </row>
    <row r="5" spans="2:18" x14ac:dyDescent="0.2">
      <c r="B5" s="39"/>
      <c r="E5" t="s">
        <v>433</v>
      </c>
      <c r="F5" s="95">
        <f>IS!C9/((BS!C43+BS!B43)/2)</f>
        <v>0.52933599962210076</v>
      </c>
      <c r="G5" s="95">
        <f>IS!D9/((BS!D43+BS!C43)/2)</f>
        <v>0.48655563248149669</v>
      </c>
      <c r="H5" s="95">
        <f>IS!E9/((BS!E43+BS!D43)/2)</f>
        <v>0.46146709595089147</v>
      </c>
      <c r="I5" s="95">
        <f>IS!F9/((BS!F43+BS!E43)/2)</f>
        <v>0.43349831094351482</v>
      </c>
      <c r="P5" s="35"/>
      <c r="Q5" s="35"/>
      <c r="R5" s="35"/>
    </row>
    <row r="6" spans="2:18" x14ac:dyDescent="0.2">
      <c r="B6" s="39"/>
      <c r="E6" t="s">
        <v>434</v>
      </c>
      <c r="F6" s="96">
        <f>(BS!B10+BS!B13)/BS!B56</f>
        <v>1.8991957769832049</v>
      </c>
      <c r="G6" s="96">
        <f>(BS!C10+BS!C13)/BS!C56</f>
        <v>2.3307702945650672</v>
      </c>
      <c r="H6" s="96">
        <f>(BS!D10+BS!D13)/BS!D56</f>
        <v>2.3529674445404782</v>
      </c>
      <c r="I6" s="96">
        <f>(BS!E10+BS!E13)/BS!E56</f>
        <v>2.7378436602379974</v>
      </c>
      <c r="K6" t="s">
        <v>489</v>
      </c>
      <c r="P6" s="35"/>
      <c r="Q6" s="35"/>
      <c r="R6" s="35"/>
    </row>
    <row r="7" spans="2:18" x14ac:dyDescent="0.2">
      <c r="B7" s="39"/>
      <c r="E7" t="s">
        <v>435</v>
      </c>
      <c r="F7" s="41">
        <f>IS!C32/ABS(IS!C33+IS!C112)</f>
        <v>35.664795918367346</v>
      </c>
      <c r="G7" s="41">
        <f>IS!D32/ABS(IS!D33+IS!D112)</f>
        <v>23.426164079822616</v>
      </c>
      <c r="H7" s="41">
        <f>IS!E32/ABS(IS!E33+IS!E112)</f>
        <v>17.602706027060272</v>
      </c>
      <c r="I7" s="41">
        <f>IS!F32/ABS(IS!F33+IS!F112)</f>
        <v>13.686864738076622</v>
      </c>
      <c r="P7" s="35"/>
      <c r="Q7" s="35"/>
      <c r="R7" s="35"/>
    </row>
    <row r="8" spans="2:18" x14ac:dyDescent="0.2">
      <c r="E8" t="s">
        <v>436</v>
      </c>
      <c r="F8" s="36">
        <f t="shared" ref="F8:I8" si="0">F14+F15-F16</f>
        <v>-4.8681591010183496</v>
      </c>
      <c r="G8" s="36">
        <f t="shared" si="0"/>
        <v>7.4142275561232793</v>
      </c>
      <c r="H8" s="36">
        <f t="shared" si="0"/>
        <v>24.764067087747605</v>
      </c>
      <c r="I8" s="36">
        <f>I14+I15-I16</f>
        <v>27.76164747864469</v>
      </c>
      <c r="P8" s="35"/>
      <c r="Q8" s="35"/>
      <c r="R8" s="35"/>
    </row>
    <row r="9" spans="2:18" x14ac:dyDescent="0.2">
      <c r="F9" s="35"/>
      <c r="G9" s="35"/>
      <c r="H9" s="35"/>
      <c r="I9" s="35"/>
      <c r="P9" s="35"/>
      <c r="Q9" s="35"/>
      <c r="R9" s="35"/>
    </row>
    <row r="10" spans="2:18" x14ac:dyDescent="0.2">
      <c r="E10" t="s">
        <v>482</v>
      </c>
      <c r="F10" s="35">
        <f>IS!C13/((BS!B17+BS!C17)/2)</f>
        <v>23.055396159788128</v>
      </c>
      <c r="G10" s="35">
        <f>IS!D13/((BS!C17+BS!D17)/2)</f>
        <v>23.283476503284486</v>
      </c>
      <c r="H10" s="35">
        <f>IS!E13/((BS!D17+BS!E17)/2)</f>
        <v>18.162962962962961</v>
      </c>
      <c r="I10" s="35">
        <f>IS!F13/((BS!E17+BS!F17)/2)</f>
        <v>15.838529836877969</v>
      </c>
      <c r="M10" s="35"/>
      <c r="P10" s="35"/>
      <c r="Q10" s="35"/>
      <c r="R10" s="35"/>
    </row>
    <row r="11" spans="2:18" x14ac:dyDescent="0.2">
      <c r="E11" t="s">
        <v>483</v>
      </c>
      <c r="F11" s="35">
        <f>IS!C9/((BS!B16+BS!C16)/2)</f>
        <v>4.7988123447626121</v>
      </c>
      <c r="G11" s="35">
        <f>IS!D9/((BS!C16+BS!D16)/2)</f>
        <v>4.6482489640042255</v>
      </c>
      <c r="H11" s="35">
        <f>IS!E9/((BS!D16+BS!E16)/2)</f>
        <v>4.4939916078921529</v>
      </c>
      <c r="I11" s="35">
        <f>IS!F9/((BS!E16+BS!F16)/2)</f>
        <v>4.5125940464507686</v>
      </c>
      <c r="P11" s="35"/>
      <c r="Q11" s="35"/>
      <c r="R11" s="35"/>
    </row>
    <row r="12" spans="2:18" x14ac:dyDescent="0.2">
      <c r="E12" t="s">
        <v>484</v>
      </c>
      <c r="F12" s="35">
        <f>IS!C13/((BS!B46+BS!C46)/2)</f>
        <v>3.7722168056909688</v>
      </c>
      <c r="G12" s="35">
        <f>IS!D13/((BS!C46+BS!D46)/2)</f>
        <v>4.2057320189850307</v>
      </c>
      <c r="H12" s="35">
        <f>IS!E13/((BS!D46+BS!E46)/2)</f>
        <v>4.7680426690371691</v>
      </c>
      <c r="I12" s="35">
        <f>IS!F13/((BS!E46+BS!F46)/2)</f>
        <v>4.7920284875367027</v>
      </c>
      <c r="P12" s="35"/>
      <c r="Q12" s="35"/>
      <c r="R12" s="35"/>
    </row>
    <row r="13" spans="2:18" x14ac:dyDescent="0.2">
      <c r="F13" s="35"/>
      <c r="G13" s="35"/>
      <c r="H13" s="35"/>
      <c r="I13" s="35"/>
      <c r="O13" t="s">
        <v>489</v>
      </c>
      <c r="P13" s="35"/>
      <c r="Q13" s="35"/>
      <c r="R13" s="35"/>
    </row>
    <row r="14" spans="2:18" x14ac:dyDescent="0.2">
      <c r="E14" t="s">
        <v>485</v>
      </c>
      <c r="F14" s="35">
        <f t="shared" ref="F14:I14" si="1">365/F10</f>
        <v>15.831434752642057</v>
      </c>
      <c r="G14" s="35">
        <f t="shared" ref="G14:L16" si="2">365/G10</f>
        <v>15.676353140327272</v>
      </c>
      <c r="H14" s="35">
        <f t="shared" si="2"/>
        <v>20.09584013050571</v>
      </c>
      <c r="I14" s="35">
        <f t="shared" si="2"/>
        <v>23.045068182410763</v>
      </c>
      <c r="K14" s="35"/>
      <c r="L14" s="35"/>
      <c r="P14" s="35"/>
      <c r="Q14" s="35"/>
      <c r="R14" s="35"/>
    </row>
    <row r="15" spans="2:18" x14ac:dyDescent="0.2">
      <c r="E15" t="s">
        <v>486</v>
      </c>
      <c r="F15" s="35">
        <f t="shared" ref="F15:I16" si="3">365/F11</f>
        <v>76.060486173908899</v>
      </c>
      <c r="G15" s="35">
        <f t="shared" si="3"/>
        <v>78.524193266440577</v>
      </c>
      <c r="H15" s="35">
        <f t="shared" si="3"/>
        <v>81.219555318929139</v>
      </c>
      <c r="I15" s="35">
        <f t="shared" si="3"/>
        <v>80.88474084813339</v>
      </c>
      <c r="P15" s="35"/>
      <c r="Q15" s="35"/>
      <c r="R15" s="35"/>
    </row>
    <row r="16" spans="2:18" x14ac:dyDescent="0.2">
      <c r="E16" t="s">
        <v>487</v>
      </c>
      <c r="F16" s="35">
        <f t="shared" ref="F16:I16" si="4">365/F12</f>
        <v>96.760080027569302</v>
      </c>
      <c r="G16" s="35">
        <f t="shared" si="4"/>
        <v>86.786318850644562</v>
      </c>
      <c r="H16" s="35">
        <f t="shared" si="4"/>
        <v>76.55132836168724</v>
      </c>
      <c r="I16" s="35">
        <f t="shared" si="4"/>
        <v>76.168161551899459</v>
      </c>
    </row>
    <row r="18" spans="2:11" x14ac:dyDescent="0.2">
      <c r="B18" s="39"/>
      <c r="D18" s="20">
        <v>2</v>
      </c>
      <c r="E18" s="20" t="s">
        <v>474</v>
      </c>
    </row>
    <row r="20" spans="2:11" x14ac:dyDescent="0.2">
      <c r="B20" s="39"/>
      <c r="D20" s="20">
        <v>3</v>
      </c>
      <c r="E20" s="20" t="s">
        <v>475</v>
      </c>
    </row>
    <row r="22" spans="2:11" x14ac:dyDescent="0.2">
      <c r="B22" s="39"/>
      <c r="D22">
        <v>4</v>
      </c>
      <c r="E22" s="20" t="s">
        <v>461</v>
      </c>
    </row>
    <row r="24" spans="2:11" x14ac:dyDescent="0.2">
      <c r="B24" s="39"/>
      <c r="D24" s="20">
        <v>5</v>
      </c>
      <c r="E24" s="20" t="s">
        <v>480</v>
      </c>
    </row>
    <row r="26" spans="2:11" x14ac:dyDescent="0.2">
      <c r="E26" s="23">
        <v>44507</v>
      </c>
      <c r="F26" t="s">
        <v>439</v>
      </c>
      <c r="G26" t="s">
        <v>440</v>
      </c>
      <c r="H26" t="s">
        <v>441</v>
      </c>
      <c r="I26" t="s">
        <v>442</v>
      </c>
    </row>
    <row r="27" spans="2:11" x14ac:dyDescent="0.2">
      <c r="E27" t="s">
        <v>443</v>
      </c>
      <c r="F27" s="104">
        <f>Prices!C759</f>
        <v>44197</v>
      </c>
      <c r="G27" s="104">
        <f>Prices!C954</f>
        <v>44470</v>
      </c>
      <c r="H27" s="104">
        <f>Prices!C975</f>
        <v>44501</v>
      </c>
      <c r="I27" s="104">
        <f>Prices!C975</f>
        <v>44501</v>
      </c>
    </row>
    <row r="28" spans="2:11" x14ac:dyDescent="0.2">
      <c r="E28" t="s">
        <v>444</v>
      </c>
      <c r="F28" s="105">
        <f>(Prices!$D$979-Prices!D759)/Prices!D759</f>
        <v>0.51092572610376763</v>
      </c>
      <c r="G28" s="105">
        <f>(Prices!D979-Prices!D956)/Prices!D954</f>
        <v>0.16361149650242246</v>
      </c>
      <c r="H28" s="105">
        <f>(Prices!D979-Prices!D975)/Prices!D975</f>
        <v>2.0311497613171317E-2</v>
      </c>
      <c r="I28" s="95">
        <f>(Prices!D979-Prices!D975)/Prices!D975</f>
        <v>2.0311497613171317E-2</v>
      </c>
    </row>
    <row r="30" spans="2:11" x14ac:dyDescent="0.2">
      <c r="B30" s="39"/>
      <c r="D30" s="20">
        <v>6</v>
      </c>
      <c r="E30" s="20" t="s">
        <v>445</v>
      </c>
      <c r="K30" t="s">
        <v>489</v>
      </c>
    </row>
    <row r="31" spans="2:11" x14ac:dyDescent="0.2">
      <c r="E31" t="s">
        <v>446</v>
      </c>
      <c r="F31" t="s">
        <v>447</v>
      </c>
    </row>
    <row r="32" spans="2:11" x14ac:dyDescent="0.2">
      <c r="E32" t="s">
        <v>448</v>
      </c>
      <c r="F32" s="22" t="str">
        <f>CONCATENATE(E31," ",F31)</f>
        <v>Robert Smith</v>
      </c>
    </row>
    <row r="34" spans="2:20" x14ac:dyDescent="0.2">
      <c r="B34" s="39"/>
      <c r="D34" s="20">
        <v>7</v>
      </c>
      <c r="E34" s="20" t="s">
        <v>462</v>
      </c>
    </row>
    <row r="35" spans="2:20" x14ac:dyDescent="0.2">
      <c r="D35" s="20"/>
      <c r="E35" s="20"/>
      <c r="K35" t="s">
        <v>481</v>
      </c>
    </row>
    <row r="36" spans="2:20" x14ac:dyDescent="0.2">
      <c r="D36" s="20"/>
      <c r="E36" s="20" t="s">
        <v>463</v>
      </c>
      <c r="F36" s="44" t="s">
        <v>437</v>
      </c>
      <c r="G36" s="44" t="s">
        <v>438</v>
      </c>
      <c r="J36" t="s">
        <v>479</v>
      </c>
      <c r="K36" s="109" t="str" cm="1">
        <f t="array" ref="K36:T36">TRANSPOSE(E36:E45)</f>
        <v>Dates</v>
      </c>
      <c r="L36" s="110">
        <v>43140</v>
      </c>
      <c r="M36" s="110">
        <v>43143</v>
      </c>
      <c r="N36" s="110">
        <v>43144</v>
      </c>
      <c r="O36" s="110">
        <v>43145</v>
      </c>
      <c r="P36" s="110">
        <v>43146</v>
      </c>
      <c r="Q36" s="110">
        <v>43147</v>
      </c>
      <c r="R36" s="110">
        <v>43150</v>
      </c>
      <c r="S36" s="110">
        <v>43151</v>
      </c>
      <c r="T36" s="111">
        <v>43152</v>
      </c>
    </row>
    <row r="37" spans="2:20" x14ac:dyDescent="0.2">
      <c r="D37" s="20"/>
      <c r="E37" s="30">
        <v>43140</v>
      </c>
      <c r="F37">
        <v>88.18</v>
      </c>
      <c r="G37">
        <v>2619.5500000000002</v>
      </c>
      <c r="K37" s="112" t="str" cm="1">
        <f t="array" ref="K37:T37">TRANSPOSE(F36:F45)</f>
        <v>MSFT.O</v>
      </c>
      <c r="L37" s="113">
        <v>88.18</v>
      </c>
      <c r="M37" s="113">
        <v>89.13</v>
      </c>
      <c r="N37" s="113">
        <v>89.83</v>
      </c>
      <c r="O37" s="113">
        <v>90.81</v>
      </c>
      <c r="P37" s="113">
        <v>92.66</v>
      </c>
      <c r="Q37" s="113">
        <v>92</v>
      </c>
      <c r="R37" s="113">
        <v>92</v>
      </c>
      <c r="S37" s="113">
        <v>92.72</v>
      </c>
      <c r="T37" s="114">
        <v>91.49</v>
      </c>
    </row>
    <row r="38" spans="2:20" x14ac:dyDescent="0.2">
      <c r="D38" s="20"/>
      <c r="E38" s="30">
        <v>43143</v>
      </c>
      <c r="F38">
        <v>89.13</v>
      </c>
      <c r="G38">
        <v>2656</v>
      </c>
      <c r="K38" s="112" t="str" cm="1">
        <f t="array" ref="K38:T38">TRANSPOSE(G36:G45)</f>
        <v>.SPX</v>
      </c>
      <c r="L38" s="113">
        <v>2619.5500000000002</v>
      </c>
      <c r="M38" s="113">
        <v>2656</v>
      </c>
      <c r="N38" s="113">
        <v>2662.94</v>
      </c>
      <c r="O38" s="113">
        <v>2698.63</v>
      </c>
      <c r="P38" s="113">
        <v>2731.2</v>
      </c>
      <c r="Q38" s="113">
        <v>2732.22</v>
      </c>
      <c r="R38" s="113">
        <v>2732.22</v>
      </c>
      <c r="S38" s="113">
        <v>2716.26</v>
      </c>
      <c r="T38" s="114">
        <v>2701.33</v>
      </c>
    </row>
    <row r="39" spans="2:20" x14ac:dyDescent="0.2">
      <c r="D39" s="20"/>
      <c r="E39" s="30">
        <v>43144</v>
      </c>
      <c r="F39">
        <v>89.83</v>
      </c>
      <c r="G39">
        <v>2662.94</v>
      </c>
      <c r="K39" s="112"/>
      <c r="L39" s="113"/>
      <c r="M39" s="113"/>
      <c r="N39" s="113"/>
      <c r="O39" s="113"/>
      <c r="P39" s="113"/>
      <c r="Q39" s="113"/>
      <c r="R39" s="113"/>
      <c r="S39" s="113"/>
      <c r="T39" s="114"/>
    </row>
    <row r="40" spans="2:20" x14ac:dyDescent="0.2">
      <c r="D40" s="20"/>
      <c r="E40" s="30">
        <v>43145</v>
      </c>
      <c r="F40">
        <v>90.81</v>
      </c>
      <c r="G40">
        <v>2698.63</v>
      </c>
      <c r="K40" s="106"/>
      <c r="L40" s="107"/>
      <c r="M40" s="107"/>
      <c r="N40" s="107"/>
      <c r="O40" s="107"/>
      <c r="P40" s="107"/>
      <c r="Q40" s="107"/>
      <c r="R40" s="107"/>
      <c r="S40" s="107"/>
      <c r="T40" s="108"/>
    </row>
    <row r="41" spans="2:20" x14ac:dyDescent="0.2">
      <c r="D41" s="20"/>
      <c r="E41" s="30">
        <v>43146</v>
      </c>
      <c r="F41">
        <v>92.66</v>
      </c>
      <c r="G41">
        <v>2731.2</v>
      </c>
    </row>
    <row r="42" spans="2:20" x14ac:dyDescent="0.2">
      <c r="D42" s="20"/>
      <c r="E42" s="30">
        <v>43147</v>
      </c>
      <c r="F42">
        <v>92</v>
      </c>
      <c r="G42">
        <v>2732.22</v>
      </c>
    </row>
    <row r="43" spans="2:20" x14ac:dyDescent="0.2">
      <c r="D43" s="20"/>
      <c r="E43" s="30">
        <v>43150</v>
      </c>
      <c r="F43">
        <v>92</v>
      </c>
      <c r="G43">
        <v>2732.22</v>
      </c>
    </row>
    <row r="44" spans="2:20" x14ac:dyDescent="0.2">
      <c r="D44" s="20"/>
      <c r="E44" s="30">
        <v>43151</v>
      </c>
      <c r="F44">
        <v>92.72</v>
      </c>
      <c r="G44">
        <v>2716.26</v>
      </c>
    </row>
    <row r="45" spans="2:20" x14ac:dyDescent="0.2">
      <c r="D45" s="20"/>
      <c r="E45" s="30">
        <v>43152</v>
      </c>
      <c r="F45">
        <v>91.49</v>
      </c>
      <c r="G45">
        <v>2701.33</v>
      </c>
    </row>
    <row r="47" spans="2:20" x14ac:dyDescent="0.2">
      <c r="B47" s="39"/>
      <c r="D47" s="20">
        <v>8</v>
      </c>
      <c r="E47" s="20" t="s">
        <v>449</v>
      </c>
      <c r="F47" s="2"/>
    </row>
    <row r="48" spans="2:20" x14ac:dyDescent="0.2">
      <c r="E48" s="24" t="s">
        <v>450</v>
      </c>
      <c r="F48" s="25"/>
      <c r="H48" s="24" t="s">
        <v>451</v>
      </c>
      <c r="I48" s="25"/>
    </row>
    <row r="49" spans="2:10" x14ac:dyDescent="0.2">
      <c r="E49" s="2" t="s">
        <v>452</v>
      </c>
      <c r="F49" s="26">
        <v>0.08</v>
      </c>
      <c r="H49" s="2" t="s">
        <v>453</v>
      </c>
      <c r="I49" s="27">
        <v>9</v>
      </c>
    </row>
    <row r="50" spans="2:10" x14ac:dyDescent="0.2">
      <c r="E50" s="2" t="s">
        <v>454</v>
      </c>
      <c r="F50" s="28">
        <v>4.5</v>
      </c>
      <c r="H50" s="2" t="s">
        <v>455</v>
      </c>
      <c r="I50" s="27">
        <v>1.6</v>
      </c>
    </row>
    <row r="51" spans="2:10" x14ac:dyDescent="0.2">
      <c r="E51" s="2" t="s">
        <v>456</v>
      </c>
      <c r="F51" s="28">
        <v>28</v>
      </c>
    </row>
    <row r="52" spans="2:10" x14ac:dyDescent="0.2">
      <c r="E52" s="2"/>
      <c r="F52" s="28"/>
    </row>
    <row r="53" spans="2:10" ht="16" thickBot="1" x14ac:dyDescent="0.25">
      <c r="E53" s="20" t="s">
        <v>459</v>
      </c>
      <c r="F53" s="2"/>
    </row>
    <row r="54" spans="2:10" ht="16" thickBot="1" x14ac:dyDescent="0.25">
      <c r="E54" s="2" t="s">
        <v>457</v>
      </c>
      <c r="F54" s="115">
        <f>F51/F50</f>
        <v>6.2222222222222223</v>
      </c>
    </row>
    <row r="55" spans="2:10" ht="16" thickBot="1" x14ac:dyDescent="0.25">
      <c r="E55" s="2" t="s">
        <v>458</v>
      </c>
      <c r="F55" s="29">
        <f>F54/F49</f>
        <v>77.777777777777771</v>
      </c>
    </row>
    <row r="57" spans="2:10" x14ac:dyDescent="0.2">
      <c r="B57" s="39"/>
      <c r="D57" s="20">
        <v>9</v>
      </c>
      <c r="E57" s="31" t="s">
        <v>470</v>
      </c>
    </row>
    <row r="58" spans="2:10" x14ac:dyDescent="0.2">
      <c r="D58" s="20"/>
      <c r="E58" s="31"/>
    </row>
    <row r="59" spans="2:10" x14ac:dyDescent="0.2">
      <c r="E59" t="s">
        <v>465</v>
      </c>
      <c r="F59">
        <v>1000</v>
      </c>
      <c r="H59" t="s">
        <v>488</v>
      </c>
      <c r="I59" s="42">
        <v>1</v>
      </c>
      <c r="J59" s="41">
        <f>($F$59*$F$60)/(1+$F$63)^I59</f>
        <v>92.592592592592581</v>
      </c>
    </row>
    <row r="60" spans="2:10" x14ac:dyDescent="0.2">
      <c r="E60" t="s">
        <v>466</v>
      </c>
      <c r="F60" s="32">
        <v>0.1</v>
      </c>
      <c r="H60" t="s">
        <v>488</v>
      </c>
      <c r="I60" s="42">
        <f>I59+1</f>
        <v>2</v>
      </c>
      <c r="J60" s="41">
        <f t="shared" ref="J60:J63" si="5">($F$59*$F$60)/(1+$F$63)^I60</f>
        <v>85.733882030178322</v>
      </c>
    </row>
    <row r="61" spans="2:10" x14ac:dyDescent="0.2">
      <c r="E61" t="s">
        <v>467</v>
      </c>
      <c r="F61" s="33">
        <v>5</v>
      </c>
      <c r="H61" t="s">
        <v>488</v>
      </c>
      <c r="I61" s="42">
        <f t="shared" ref="I61:I63" si="6">I60+1</f>
        <v>3</v>
      </c>
      <c r="J61" s="41">
        <f t="shared" si="5"/>
        <v>79.383224102016953</v>
      </c>
    </row>
    <row r="62" spans="2:10" x14ac:dyDescent="0.2">
      <c r="E62" t="s">
        <v>468</v>
      </c>
      <c r="F62" s="33" t="s">
        <v>469</v>
      </c>
      <c r="H62" t="s">
        <v>488</v>
      </c>
      <c r="I62" s="42">
        <f t="shared" si="6"/>
        <v>4</v>
      </c>
      <c r="J62" s="41">
        <f t="shared" si="5"/>
        <v>73.50298527964533</v>
      </c>
    </row>
    <row r="63" spans="2:10" x14ac:dyDescent="0.2">
      <c r="E63" t="s">
        <v>471</v>
      </c>
      <c r="F63" s="32">
        <v>0.08</v>
      </c>
      <c r="H63" t="s">
        <v>488</v>
      </c>
      <c r="I63" s="42">
        <f t="shared" si="6"/>
        <v>5</v>
      </c>
      <c r="J63" s="41">
        <f t="shared" si="5"/>
        <v>68.058319703375304</v>
      </c>
    </row>
    <row r="64" spans="2:10" x14ac:dyDescent="0.2">
      <c r="H64" t="s">
        <v>472</v>
      </c>
      <c r="J64" s="41">
        <f>F59/(1+F63)^I63</f>
        <v>680.58319703375298</v>
      </c>
    </row>
    <row r="65" spans="8:10" x14ac:dyDescent="0.2">
      <c r="H65" t="s">
        <v>473</v>
      </c>
      <c r="J65" s="41">
        <f>SUM(J59:J64)</f>
        <v>1079.8542007415613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Prices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Adneya Audhi</dc:creator>
  <cp:lastModifiedBy>Oniruddho Khan Saadi</cp:lastModifiedBy>
  <dcterms:created xsi:type="dcterms:W3CDTF">2022-02-10T11:18:19Z</dcterms:created>
  <dcterms:modified xsi:type="dcterms:W3CDTF">2025-11-21T13:14:50Z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{3E024EFE-FA21-426D-A663-74E37B3EA15F}</vt:lpwstr>
  </property>
</Properties>
</file>